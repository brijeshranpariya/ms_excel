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ha\OneDrive\Documents\"/>
    </mc:Choice>
  </mc:AlternateContent>
  <xr:revisionPtr revIDLastSave="0" documentId="13_ncr:1_{08B00BF4-1802-44D9-903E-FFC64995CC22}" xr6:coauthVersionLast="47" xr6:coauthVersionMax="47" xr10:uidLastSave="{00000000-0000-0000-0000-000000000000}"/>
  <bookViews>
    <workbookView xWindow="-108" yWindow="-108" windowWidth="23256" windowHeight="12456" xr2:uid="{2E007CEA-3180-4C09-9459-C230F2B24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8" i="1" l="1"/>
  <c r="G59" i="1"/>
  <c r="G60" i="1"/>
  <c r="G61" i="1"/>
  <c r="G62" i="1"/>
  <c r="G63" i="1"/>
  <c r="G64" i="1"/>
  <c r="G65" i="1"/>
  <c r="G66" i="1"/>
  <c r="G57" i="1"/>
  <c r="A69" i="1" s="1" a="1"/>
  <c r="A69" i="1" s="1"/>
  <c r="C79" i="1"/>
  <c r="C77" i="1"/>
  <c r="C78" i="1"/>
  <c r="C80" i="1"/>
  <c r="C81" i="1"/>
  <c r="C140" i="1"/>
  <c r="C141" i="1"/>
  <c r="C142" i="1"/>
  <c r="C146" i="1"/>
  <c r="C147" i="1"/>
  <c r="C148" i="1"/>
  <c r="F159" i="1"/>
  <c r="F158" i="1"/>
  <c r="G158" i="1" s="1"/>
  <c r="F157" i="1"/>
  <c r="G157" i="1" s="1"/>
  <c r="F156" i="1"/>
  <c r="F155" i="1"/>
  <c r="G155" i="1" s="1"/>
  <c r="H155" i="1" s="1"/>
  <c r="F154" i="1"/>
  <c r="F153" i="1"/>
  <c r="G153" i="1" s="1"/>
  <c r="H153" i="1" s="1"/>
  <c r="A124" i="1"/>
  <c r="A125" i="1"/>
  <c r="A120" i="1"/>
  <c r="A121" i="1"/>
  <c r="A122" i="1"/>
  <c r="A123" i="1"/>
  <c r="A113" i="1"/>
  <c r="A114" i="1"/>
  <c r="A115" i="1"/>
  <c r="A116" i="1"/>
  <c r="A112" i="1"/>
  <c r="F58" i="1"/>
  <c r="F59" i="1"/>
  <c r="A102" i="1" s="1" a="1"/>
  <c r="A102" i="1" s="1"/>
  <c r="F60" i="1"/>
  <c r="F61" i="1"/>
  <c r="F62" i="1"/>
  <c r="A105" i="1" s="1" a="1"/>
  <c r="A105" i="1" s="1"/>
  <c r="F63" i="1"/>
  <c r="F64" i="1"/>
  <c r="F65" i="1"/>
  <c r="F66" i="1"/>
  <c r="A109" i="1" s="1" a="1"/>
  <c r="A109" i="1" s="1"/>
  <c r="F57" i="1"/>
  <c r="B93" i="1"/>
  <c r="B94" i="1"/>
  <c r="B95" i="1"/>
  <c r="B96" i="1"/>
  <c r="B92" i="1"/>
  <c r="A93" i="1"/>
  <c r="A94" i="1"/>
  <c r="A95" i="1"/>
  <c r="A96" i="1"/>
  <c r="A92" i="1"/>
  <c r="A89" i="1"/>
  <c r="A87" i="1"/>
  <c r="A86" i="1"/>
  <c r="A88" i="1"/>
  <c r="A85" i="1"/>
  <c r="A78" i="1"/>
  <c r="B78" i="1"/>
  <c r="D78" i="1"/>
  <c r="E78" i="1"/>
  <c r="G78" i="1"/>
  <c r="A79" i="1"/>
  <c r="B79" i="1"/>
  <c r="D79" i="1"/>
  <c r="E79" i="1"/>
  <c r="G79" i="1"/>
  <c r="A80" i="1"/>
  <c r="B80" i="1"/>
  <c r="D80" i="1"/>
  <c r="E80" i="1"/>
  <c r="G80" i="1"/>
  <c r="A81" i="1"/>
  <c r="B81" i="1"/>
  <c r="D81" i="1"/>
  <c r="E81" i="1"/>
  <c r="G81" i="1"/>
  <c r="G77" i="1"/>
  <c r="D77" i="1"/>
  <c r="E77" i="1"/>
  <c r="B77" i="1"/>
  <c r="A77" i="1"/>
  <c r="A48" i="1"/>
  <c r="A49" i="1"/>
  <c r="A50" i="1"/>
  <c r="A51" i="1"/>
  <c r="A52" i="1"/>
  <c r="A53" i="1"/>
  <c r="A47" i="1"/>
  <c r="A39" i="1"/>
  <c r="A40" i="1"/>
  <c r="A41" i="1"/>
  <c r="A42" i="1"/>
  <c r="A43" i="1"/>
  <c r="A44" i="1"/>
  <c r="A38" i="1"/>
  <c r="A31" i="1"/>
  <c r="A28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1" i="1"/>
  <c r="G11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0" i="1"/>
  <c r="F3" i="1"/>
  <c r="F77" i="1" s="1"/>
  <c r="F4" i="1"/>
  <c r="F78" i="1" s="1"/>
  <c r="F5" i="1"/>
  <c r="F79" i="1" s="1"/>
  <c r="F6" i="1"/>
  <c r="F80" i="1" s="1"/>
  <c r="F7" i="1"/>
  <c r="F81" i="1" s="1"/>
  <c r="B131" i="1" a="1"/>
  <c r="A107" i="1" l="1" a="1"/>
  <c r="A107" i="1" s="1"/>
  <c r="A104" i="1" a="1"/>
  <c r="A104" i="1" s="1"/>
  <c r="A108" i="1" a="1"/>
  <c r="A108" i="1" s="1"/>
  <c r="A103" i="1" a="1"/>
  <c r="A103" i="1" s="1"/>
  <c r="A100" i="1" a="1"/>
  <c r="A100" i="1" s="1"/>
  <c r="A106" i="1" a="1"/>
  <c r="A106" i="1" s="1"/>
  <c r="A101" i="1" a="1"/>
  <c r="A101" i="1" s="1"/>
  <c r="G154" i="1"/>
  <c r="H154" i="1" s="1"/>
  <c r="G156" i="1"/>
  <c r="H156" i="1" s="1"/>
  <c r="G159" i="1"/>
  <c r="H159" i="1" s="1"/>
  <c r="H158" i="1"/>
  <c r="H157" i="1"/>
  <c r="B131" i="1"/>
  <c r="A34" i="1"/>
  <c r="H20" i="1"/>
  <c r="I20" i="1" s="1"/>
  <c r="A163" i="1" l="1" a="1"/>
  <c r="A16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<sst xmlns="http://schemas.openxmlformats.org/spreadsheetml/2006/main" count="154" uniqueCount="113">
  <si>
    <t>Name</t>
  </si>
  <si>
    <t>Department</t>
  </si>
  <si>
    <t>Joining Date</t>
  </si>
  <si>
    <t>Salary</t>
  </si>
  <si>
    <t>Bonus</t>
  </si>
  <si>
    <t>Total Salary</t>
  </si>
  <si>
    <t>Remarks</t>
  </si>
  <si>
    <t>Amit Shah</t>
  </si>
  <si>
    <t>Sales</t>
  </si>
  <si>
    <t>Good</t>
  </si>
  <si>
    <t>Riya Patel</t>
  </si>
  <si>
    <t>HR</t>
  </si>
  <si>
    <t>Average</t>
  </si>
  <si>
    <t>Karan Mehta</t>
  </si>
  <si>
    <t>IT</t>
  </si>
  <si>
    <t>Excellent</t>
  </si>
  <si>
    <t>Neha Joshi</t>
  </si>
  <si>
    <t>Finance</t>
  </si>
  <si>
    <t>Rahul Verma</t>
  </si>
  <si>
    <t>Marketing</t>
  </si>
  <si>
    <t>Satisfactory</t>
  </si>
  <si>
    <t>Relative &amp; Absolute Cell References, Formatting, and Data Input</t>
  </si>
  <si>
    <t>Using IF Formula &amp; Nesting IF Formulas</t>
  </si>
  <si>
    <t>Order ID</t>
  </si>
  <si>
    <t>Product Name</t>
  </si>
  <si>
    <t>Category</t>
  </si>
  <si>
    <t>Price (₹)</t>
  </si>
  <si>
    <t>Quantity</t>
  </si>
  <si>
    <t>Discount %</t>
  </si>
  <si>
    <t>Discount Amount</t>
  </si>
  <si>
    <t>Laptop</t>
  </si>
  <si>
    <t>Electronics</t>
  </si>
  <si>
    <t>Headphones</t>
  </si>
  <si>
    <t>Office Chair</t>
  </si>
  <si>
    <t>Furniture</t>
  </si>
  <si>
    <t>Notebook Pack</t>
  </si>
  <si>
    <t>Stationery</t>
  </si>
  <si>
    <t>Smartphone</t>
  </si>
  <si>
    <t>Table Lamp</t>
  </si>
  <si>
    <t>Backpack</t>
  </si>
  <si>
    <t>Accessories</t>
  </si>
  <si>
    <t>Roll No</t>
  </si>
  <si>
    <t>Student Name</t>
  </si>
  <si>
    <t>Class</t>
  </si>
  <si>
    <t>Math</t>
  </si>
  <si>
    <t>Science</t>
  </si>
  <si>
    <t>English</t>
  </si>
  <si>
    <t>Total Marks</t>
  </si>
  <si>
    <t>Percentage</t>
  </si>
  <si>
    <t>Grade</t>
  </si>
  <si>
    <t>Aarav Patel</t>
  </si>
  <si>
    <t>Diya Shah</t>
  </si>
  <si>
    <t>Krish Mehta</t>
  </si>
  <si>
    <t>Anaya Joshi</t>
  </si>
  <si>
    <t>Vivaan Desai</t>
  </si>
  <si>
    <t>Meera Patel</t>
  </si>
  <si>
    <t>Aryan Trivedi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</si>
  <si>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</si>
  <si>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</si>
  <si>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</si>
  <si>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</si>
  <si>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</si>
  <si>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</si>
  <si>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Product Code</t>
  </si>
  <si>
    <t>INDEX and MATCH Functions</t>
  </si>
  <si>
    <t>Find sales values for a specific salesperson in a specific month.</t>
  </si>
  <si>
    <t>Date</t>
  </si>
  <si>
    <t>Salesperson</t>
  </si>
  <si>
    <t>Region</t>
  </si>
  <si>
    <t>Sales Value</t>
  </si>
  <si>
    <t>Rahul</t>
  </si>
  <si>
    <t>PRD001</t>
  </si>
  <si>
    <t>West</t>
  </si>
  <si>
    <t>Priya</t>
  </si>
  <si>
    <t>PRD002</t>
  </si>
  <si>
    <t>North</t>
  </si>
  <si>
    <t>Amit</t>
  </si>
  <si>
    <t>PRD003</t>
  </si>
  <si>
    <t>South</t>
  </si>
  <si>
    <t>PRD004</t>
  </si>
  <si>
    <t>PRD005</t>
  </si>
  <si>
    <t>Look up employee details dynamically without column restrictions.</t>
  </si>
  <si>
    <t>Excel TEXT Functions</t>
  </si>
  <si>
    <t>Extract the first name from full names using LEFT and FIND.</t>
  </si>
  <si>
    <t>Convert names to uppercase/lowercase using UPPER(), LOWER().</t>
  </si>
  <si>
    <t>XLOOKUP Function</t>
  </si>
  <si>
    <t>Search for salesperson performance based on flexible search criteria.</t>
  </si>
  <si>
    <t>Sales Performance</t>
  </si>
  <si>
    <t>Find employee salaries without worrying about sorted data.</t>
  </si>
  <si>
    <t>XMATCH Function</t>
  </si>
  <si>
    <t>Find the position of a product in a sales list.</t>
  </si>
  <si>
    <t>INDIRECT Function</t>
  </si>
  <si>
    <t>Dynamically reference a cell range using INDIRECT.</t>
  </si>
  <si>
    <t>A</t>
  </si>
  <si>
    <t>B</t>
  </si>
  <si>
    <t>A121</t>
  </si>
  <si>
    <t xml:space="preserve">INDIRECTED VALUE : </t>
  </si>
  <si>
    <t>Date and Time Functions</t>
  </si>
  <si>
    <t>Calculate age from date of birth.</t>
  </si>
  <si>
    <t>Birthdate</t>
  </si>
  <si>
    <t>Rahul Mehta</t>
  </si>
  <si>
    <t>Priya Shah</t>
  </si>
  <si>
    <t>Amit Patel</t>
  </si>
  <si>
    <t>Age</t>
  </si>
  <si>
    <t>Find the difference in days between two dates.</t>
  </si>
  <si>
    <t>Start Date</t>
  </si>
  <si>
    <t>End Date</t>
  </si>
  <si>
    <t>Difference</t>
  </si>
  <si>
    <t>Math Functions</t>
  </si>
  <si>
    <t>Use ROUND(), CEILING(), and FLOOR() for financial calculations.</t>
  </si>
  <si>
    <t>Return Multiple Values using FILTER Function</t>
  </si>
  <si>
    <t>Extract a list of top-performing students based on scores.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</si>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</sst>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CBF5-93C0-439D-9EFF-70C7E9B06930}">
  <dimension ref="A1:I166"/>
  <sheetViews>
    <sheetView tabSelected="1" topLeftCell="A125" workbookViewId="0">
      <selection activeCell="B133" sqref="B133"/>
    </sheetView>
  </sheetViews>
  <sheetFormatPr defaultRowHeight="14.4" x14ac:dyDescent="0.3"/>
  <cols>
    <col min="1" max="1" width="43.5546875" bestFit="1" customWidth="1"/>
    <col min="2" max="2" width="12.77734375" bestFit="1" customWidth="1"/>
    <col min="3" max="3" width="10.88671875" bestFit="1" customWidth="1"/>
    <col min="4" max="4" width="10.109375" bestFit="1" customWidth="1"/>
    <col min="5" max="5" width="9.109375" bestFit="1" customWidth="1"/>
    <col min="6" max="6" width="10.6640625" bestFit="1" customWidth="1"/>
    <col min="7" max="7" width="10.44140625" bestFit="1" customWidth="1"/>
    <col min="8" max="8" width="11.5546875" bestFit="1" customWidth="1"/>
    <col min="9" max="9" width="7.5546875" bestFit="1" customWidth="1"/>
  </cols>
  <sheetData>
    <row r="1" spans="1:9" x14ac:dyDescent="0.3">
      <c r="A1" s="18" t="s">
        <v>21</v>
      </c>
      <c r="B1" s="18"/>
      <c r="C1" s="18"/>
      <c r="D1" s="18"/>
      <c r="E1" s="18"/>
      <c r="F1" s="18"/>
      <c r="G1" s="18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9" x14ac:dyDescent="0.3">
      <c r="A3" s="2" t="s">
        <v>7</v>
      </c>
      <c r="B3" s="2" t="s">
        <v>8</v>
      </c>
      <c r="C3" s="3">
        <v>44896</v>
      </c>
      <c r="D3" s="4">
        <v>25000</v>
      </c>
      <c r="E3" s="4">
        <v>5000</v>
      </c>
      <c r="F3" s="4">
        <f>SUM($D3:E3)</f>
        <v>30000</v>
      </c>
      <c r="G3" s="2" t="s">
        <v>9</v>
      </c>
    </row>
    <row r="4" spans="1:9" x14ac:dyDescent="0.3">
      <c r="A4" s="2" t="s">
        <v>10</v>
      </c>
      <c r="B4" s="2" t="s">
        <v>11</v>
      </c>
      <c r="C4" s="3">
        <v>45049</v>
      </c>
      <c r="D4" s="4">
        <v>22000</v>
      </c>
      <c r="E4" s="4">
        <v>3000</v>
      </c>
      <c r="F4" s="4">
        <f>SUM($D4:E4)</f>
        <v>25000</v>
      </c>
      <c r="G4" s="2" t="s">
        <v>12</v>
      </c>
    </row>
    <row r="5" spans="1:9" x14ac:dyDescent="0.3">
      <c r="A5" s="2" t="s">
        <v>13</v>
      </c>
      <c r="B5" s="2" t="s">
        <v>14</v>
      </c>
      <c r="C5" s="5">
        <v>44395</v>
      </c>
      <c r="D5" s="4">
        <v>30000</v>
      </c>
      <c r="E5" s="4">
        <v>7000</v>
      </c>
      <c r="F5" s="4">
        <f>SUM($D5:E5)</f>
        <v>37000</v>
      </c>
      <c r="G5" s="2" t="s">
        <v>15</v>
      </c>
    </row>
    <row r="6" spans="1:9" x14ac:dyDescent="0.3">
      <c r="A6" s="2" t="s">
        <v>16</v>
      </c>
      <c r="B6" s="2" t="s">
        <v>17</v>
      </c>
      <c r="C6" s="5">
        <v>44160</v>
      </c>
      <c r="D6" s="4">
        <v>28000</v>
      </c>
      <c r="E6" s="4">
        <v>6000</v>
      </c>
      <c r="F6" s="4">
        <f>SUM($D6:E6)</f>
        <v>34000</v>
      </c>
      <c r="G6" s="2" t="s">
        <v>9</v>
      </c>
    </row>
    <row r="7" spans="1:9" x14ac:dyDescent="0.3">
      <c r="A7" s="2" t="s">
        <v>18</v>
      </c>
      <c r="B7" s="2" t="s">
        <v>19</v>
      </c>
      <c r="C7" s="3">
        <v>44810</v>
      </c>
      <c r="D7" s="4">
        <v>26000</v>
      </c>
      <c r="E7" s="4">
        <v>4000</v>
      </c>
      <c r="F7" s="4">
        <f>SUM($D7:E7)</f>
        <v>30000</v>
      </c>
      <c r="G7" s="2" t="s">
        <v>20</v>
      </c>
    </row>
    <row r="9" spans="1:9" x14ac:dyDescent="0.3">
      <c r="A9" s="18" t="s">
        <v>22</v>
      </c>
      <c r="B9" s="18"/>
      <c r="C9" s="18"/>
      <c r="D9" s="18"/>
      <c r="E9" s="18"/>
      <c r="F9" s="18"/>
      <c r="G9" s="18"/>
    </row>
    <row r="10" spans="1:9" ht="28.8" x14ac:dyDescent="0.3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8</v>
      </c>
      <c r="I10" s="1" t="s">
        <v>63</v>
      </c>
    </row>
    <row r="11" spans="1:9" x14ac:dyDescent="0.3">
      <c r="A11" s="2">
        <v>101</v>
      </c>
      <c r="B11" s="2" t="s">
        <v>30</v>
      </c>
      <c r="C11" s="2" t="s">
        <v>31</v>
      </c>
      <c r="D11" s="2">
        <v>45000</v>
      </c>
      <c r="E11" s="2">
        <v>1</v>
      </c>
      <c r="F11" s="2">
        <f>IF(D11*E11&lt;1000,5%,IF(D12*E12&lt;5000,10%,IF(D13*E13&lt;20000,15%,25%)))</f>
        <v>0.1</v>
      </c>
      <c r="G11" s="2">
        <f>PRODUCT(D11,E11) * F11</f>
        <v>4500</v>
      </c>
      <c r="H11" s="2">
        <v>300000</v>
      </c>
      <c r="I11" s="2">
        <v>1001</v>
      </c>
    </row>
    <row r="12" spans="1:9" x14ac:dyDescent="0.3">
      <c r="A12" s="2">
        <v>102</v>
      </c>
      <c r="B12" s="2" t="s">
        <v>32</v>
      </c>
      <c r="C12" s="2" t="s">
        <v>31</v>
      </c>
      <c r="D12" s="2">
        <v>1800</v>
      </c>
      <c r="E12" s="2">
        <v>2</v>
      </c>
      <c r="F12" s="2">
        <f t="shared" ref="F12:F17" si="0">IF(D12*E12&lt;1000,5%,IF(D13*E13&lt;5000,10%,IF(D14*E14&lt;20000,15%,25%)))</f>
        <v>0.15</v>
      </c>
      <c r="G12" s="2">
        <f t="shared" ref="G12:G17" si="1">PRODUCT(D12,E12) * F12</f>
        <v>540</v>
      </c>
      <c r="H12" s="2">
        <v>20000</v>
      </c>
      <c r="I12" s="2">
        <v>1002</v>
      </c>
    </row>
    <row r="13" spans="1:9" x14ac:dyDescent="0.3">
      <c r="A13" s="2">
        <v>103</v>
      </c>
      <c r="B13" s="2" t="s">
        <v>33</v>
      </c>
      <c r="C13" s="2" t="s">
        <v>34</v>
      </c>
      <c r="D13" s="2">
        <v>7500</v>
      </c>
      <c r="E13" s="2">
        <v>1</v>
      </c>
      <c r="F13" s="2">
        <f t="shared" si="0"/>
        <v>0.1</v>
      </c>
      <c r="G13" s="2">
        <f t="shared" si="1"/>
        <v>750</v>
      </c>
      <c r="H13" s="2">
        <v>35000</v>
      </c>
      <c r="I13" s="2">
        <v>1003</v>
      </c>
    </row>
    <row r="14" spans="1:9" ht="28.8" x14ac:dyDescent="0.3">
      <c r="A14" s="2">
        <v>104</v>
      </c>
      <c r="B14" s="2" t="s">
        <v>35</v>
      </c>
      <c r="C14" s="2" t="s">
        <v>36</v>
      </c>
      <c r="D14" s="2">
        <v>600</v>
      </c>
      <c r="E14" s="2">
        <v>5</v>
      </c>
      <c r="F14" s="2">
        <f t="shared" si="0"/>
        <v>0.15</v>
      </c>
      <c r="G14" s="2">
        <f t="shared" si="1"/>
        <v>450</v>
      </c>
      <c r="H14" s="2">
        <v>12000</v>
      </c>
      <c r="I14" s="2">
        <v>1004</v>
      </c>
    </row>
    <row r="15" spans="1:9" x14ac:dyDescent="0.3">
      <c r="A15" s="2">
        <v>105</v>
      </c>
      <c r="B15" s="2" t="s">
        <v>37</v>
      </c>
      <c r="C15" s="2" t="s">
        <v>31</v>
      </c>
      <c r="D15" s="2">
        <v>22000</v>
      </c>
      <c r="E15" s="2">
        <v>1</v>
      </c>
      <c r="F15" s="2">
        <f t="shared" si="0"/>
        <v>0.1</v>
      </c>
      <c r="G15" s="2">
        <f t="shared" si="1"/>
        <v>2200</v>
      </c>
      <c r="H15" s="2">
        <v>220000</v>
      </c>
      <c r="I15" s="2">
        <v>1005</v>
      </c>
    </row>
    <row r="16" spans="1:9" x14ac:dyDescent="0.3">
      <c r="A16" s="2">
        <v>106</v>
      </c>
      <c r="B16" s="2" t="s">
        <v>38</v>
      </c>
      <c r="C16" s="2" t="s">
        <v>34</v>
      </c>
      <c r="D16" s="2">
        <v>1200</v>
      </c>
      <c r="E16" s="2">
        <v>3</v>
      </c>
      <c r="F16" s="2">
        <f t="shared" si="0"/>
        <v>0.1</v>
      </c>
      <c r="G16" s="2">
        <f t="shared" si="1"/>
        <v>360</v>
      </c>
      <c r="H16" s="2">
        <v>24000</v>
      </c>
      <c r="I16" s="2">
        <v>1006</v>
      </c>
    </row>
    <row r="17" spans="1:9" x14ac:dyDescent="0.3">
      <c r="A17" s="2">
        <v>107</v>
      </c>
      <c r="B17" s="2" t="s">
        <v>39</v>
      </c>
      <c r="C17" s="2" t="s">
        <v>40</v>
      </c>
      <c r="D17" s="2">
        <v>900</v>
      </c>
      <c r="E17" s="2">
        <v>2</v>
      </c>
      <c r="F17" s="2">
        <f t="shared" si="0"/>
        <v>0.1</v>
      </c>
      <c r="G17" s="2">
        <f t="shared" si="1"/>
        <v>180</v>
      </c>
      <c r="H17" s="2">
        <v>18000</v>
      </c>
      <c r="I17" s="2">
        <v>1007</v>
      </c>
    </row>
    <row r="19" spans="1:9" ht="28.8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45</v>
      </c>
      <c r="F19" s="1" t="s">
        <v>46</v>
      </c>
      <c r="G19" s="1" t="s">
        <v>47</v>
      </c>
      <c r="H19" s="1" t="s">
        <v>48</v>
      </c>
      <c r="I19" s="1" t="s">
        <v>49</v>
      </c>
    </row>
    <row r="20" spans="1:9" x14ac:dyDescent="0.3">
      <c r="A20" s="2">
        <v>1</v>
      </c>
      <c r="B20" s="2" t="s">
        <v>50</v>
      </c>
      <c r="C20" s="2">
        <v>10</v>
      </c>
      <c r="D20" s="2">
        <v>78</v>
      </c>
      <c r="E20" s="2">
        <v>85</v>
      </c>
      <c r="F20" s="2">
        <v>80</v>
      </c>
      <c r="G20" s="2">
        <f>SUM(D20:F20)</f>
        <v>243</v>
      </c>
      <c r="H20" s="2">
        <f>PRODUCT($G20,100)/300</f>
        <v>81</v>
      </c>
      <c r="I20" s="2" t="str">
        <f>IF(H20&gt;80,"A",IF(H20&gt;65,"B",IF(H20&gt;45,"C","D")))</f>
        <v>A</v>
      </c>
    </row>
    <row r="21" spans="1:9" x14ac:dyDescent="0.3">
      <c r="A21" s="2">
        <v>2</v>
      </c>
      <c r="B21" s="2" t="s">
        <v>51</v>
      </c>
      <c r="C21" s="2">
        <v>10</v>
      </c>
      <c r="D21" s="2">
        <v>92</v>
      </c>
      <c r="E21" s="2">
        <v>88</v>
      </c>
      <c r="F21" s="2">
        <v>95</v>
      </c>
      <c r="G21" s="2">
        <f t="shared" ref="G21:G26" si="2">SUM(D21:F21)</f>
        <v>275</v>
      </c>
      <c r="H21" s="2">
        <f t="shared" ref="H21:H26" si="3">PRODUCT($G21,100)/300</f>
        <v>91.666666666666671</v>
      </c>
      <c r="I21" s="2" t="str">
        <f t="shared" ref="I21:I26" si="4">IF(H21&gt;80,"A",IF(H21&gt;65,"B",IF(H21&gt;45,"C","D")))</f>
        <v>A</v>
      </c>
    </row>
    <row r="22" spans="1:9" x14ac:dyDescent="0.3">
      <c r="A22" s="2">
        <v>3</v>
      </c>
      <c r="B22" s="2" t="s">
        <v>52</v>
      </c>
      <c r="C22" s="2">
        <v>10</v>
      </c>
      <c r="D22" s="2">
        <v>65</v>
      </c>
      <c r="E22" s="2">
        <v>70</v>
      </c>
      <c r="F22" s="2">
        <v>60</v>
      </c>
      <c r="G22" s="2">
        <f t="shared" si="2"/>
        <v>195</v>
      </c>
      <c r="H22" s="2">
        <f t="shared" si="3"/>
        <v>65</v>
      </c>
      <c r="I22" s="2" t="str">
        <f t="shared" si="4"/>
        <v>C</v>
      </c>
    </row>
    <row r="23" spans="1:9" x14ac:dyDescent="0.3">
      <c r="A23" s="2">
        <v>4</v>
      </c>
      <c r="B23" s="2" t="s">
        <v>53</v>
      </c>
      <c r="C23" s="2">
        <v>10</v>
      </c>
      <c r="D23" s="2">
        <v>55</v>
      </c>
      <c r="E23" s="2">
        <v>60</v>
      </c>
      <c r="F23" s="2">
        <v>58</v>
      </c>
      <c r="G23" s="2">
        <f t="shared" si="2"/>
        <v>173</v>
      </c>
      <c r="H23" s="2">
        <f t="shared" si="3"/>
        <v>57.666666666666664</v>
      </c>
      <c r="I23" s="2" t="str">
        <f t="shared" si="4"/>
        <v>C</v>
      </c>
    </row>
    <row r="24" spans="1:9" x14ac:dyDescent="0.3">
      <c r="A24" s="2">
        <v>5</v>
      </c>
      <c r="B24" s="2" t="s">
        <v>54</v>
      </c>
      <c r="C24" s="2">
        <v>10</v>
      </c>
      <c r="D24" s="2">
        <v>81</v>
      </c>
      <c r="E24" s="2">
        <v>79</v>
      </c>
      <c r="F24" s="2">
        <v>85</v>
      </c>
      <c r="G24" s="2">
        <f t="shared" si="2"/>
        <v>245</v>
      </c>
      <c r="H24" s="2">
        <f t="shared" si="3"/>
        <v>81.666666666666671</v>
      </c>
      <c r="I24" s="2" t="str">
        <f t="shared" si="4"/>
        <v>A</v>
      </c>
    </row>
    <row r="25" spans="1:9" x14ac:dyDescent="0.3">
      <c r="A25" s="2">
        <v>6</v>
      </c>
      <c r="B25" s="2" t="s">
        <v>55</v>
      </c>
      <c r="C25" s="2">
        <v>10</v>
      </c>
      <c r="D25" s="2">
        <v>90</v>
      </c>
      <c r="E25" s="2">
        <v>93</v>
      </c>
      <c r="F25" s="2">
        <v>89</v>
      </c>
      <c r="G25" s="2">
        <f t="shared" si="2"/>
        <v>272</v>
      </c>
      <c r="H25" s="2">
        <f t="shared" si="3"/>
        <v>90.666666666666671</v>
      </c>
      <c r="I25" s="2" t="str">
        <f t="shared" si="4"/>
        <v>A</v>
      </c>
    </row>
    <row r="26" spans="1:9" x14ac:dyDescent="0.3">
      <c r="A26" s="2">
        <v>7</v>
      </c>
      <c r="B26" s="2" t="s">
        <v>56</v>
      </c>
      <c r="C26" s="2">
        <v>10</v>
      </c>
      <c r="D26" s="2">
        <v>72</v>
      </c>
      <c r="E26" s="2">
        <v>68</v>
      </c>
      <c r="F26" s="2">
        <v>75</v>
      </c>
      <c r="G26" s="2">
        <f t="shared" si="2"/>
        <v>215</v>
      </c>
      <c r="H26" s="2">
        <f t="shared" si="3"/>
        <v>71.666666666666671</v>
      </c>
      <c r="I26" s="2" t="str">
        <f t="shared" si="4"/>
        <v>B</v>
      </c>
    </row>
    <row r="27" spans="1:9" x14ac:dyDescent="0.3">
      <c r="A27" s="15" t="s">
        <v>57</v>
      </c>
      <c r="B27" s="15"/>
      <c r="C27" s="15"/>
      <c r="D27" s="15"/>
      <c r="E27" s="15"/>
      <c r="F27" s="6"/>
      <c r="G27" s="6"/>
      <c r="H27" s="6"/>
      <c r="I27" s="6"/>
    </row>
    <row r="28" spans="1:9" x14ac:dyDescent="0.3">
      <c r="A28">
        <f>COUNTIF(D20:D26,"&gt;50")</f>
        <v>7</v>
      </c>
    </row>
    <row r="30" spans="1:9" x14ac:dyDescent="0.3">
      <c r="A30" s="15" t="s">
        <v>58</v>
      </c>
      <c r="B30" s="15"/>
      <c r="C30" s="15"/>
      <c r="D30" s="15"/>
    </row>
    <row r="31" spans="1:9" x14ac:dyDescent="0.3">
      <c r="A31">
        <f>SUMIFS(H11:H17,C11:C17,"Electronics")</f>
        <v>540000</v>
      </c>
    </row>
    <row r="33" spans="1:6" x14ac:dyDescent="0.3">
      <c r="A33" s="15" t="s">
        <v>59</v>
      </c>
      <c r="B33" s="15"/>
      <c r="C33" s="15"/>
      <c r="D33" s="15"/>
      <c r="E33" s="15"/>
      <c r="F33" s="15"/>
    </row>
    <row r="34" spans="1:6" x14ac:dyDescent="0.3">
      <c r="A34">
        <f>AVERAGEIFS(G20:G26,E20:E26,"&gt;60")</f>
        <v>240.83333333333334</v>
      </c>
    </row>
    <row r="36" spans="1:6" x14ac:dyDescent="0.3">
      <c r="A36" s="15" t="s">
        <v>60</v>
      </c>
      <c r="B36" s="15"/>
    </row>
    <row r="37" spans="1:6" x14ac:dyDescent="0.3">
      <c r="A37" s="15" t="s">
        <v>61</v>
      </c>
      <c r="B37" s="15"/>
      <c r="C37" s="15"/>
      <c r="D37" s="15"/>
      <c r="E37" s="15"/>
    </row>
    <row r="38" spans="1:6" x14ac:dyDescent="0.3">
      <c r="A38" t="str">
        <f>VLOOKUP(A20,$A$19:$I$26,2)</f>
        <v>Aarav Patel</v>
      </c>
    </row>
    <row r="39" spans="1:6" x14ac:dyDescent="0.3">
      <c r="A39" t="str">
        <f>VLOOKUP(A21,$A$19:$I$26,2)</f>
        <v>Diya Shah</v>
      </c>
    </row>
    <row r="40" spans="1:6" x14ac:dyDescent="0.3">
      <c r="A40" t="str">
        <f>VLOOKUP(A22,$A$19:$I$26,2)</f>
        <v>Krish Mehta</v>
      </c>
    </row>
    <row r="41" spans="1:6" x14ac:dyDescent="0.3">
      <c r="A41" t="str">
        <f>VLOOKUP(A23,$A$19:$I$26,2)</f>
        <v>Anaya Joshi</v>
      </c>
    </row>
    <row r="42" spans="1:6" x14ac:dyDescent="0.3">
      <c r="A42" t="str">
        <f>VLOOKUP(A24,$A$19:$I$26,2)</f>
        <v>Vivaan Desai</v>
      </c>
    </row>
    <row r="43" spans="1:6" x14ac:dyDescent="0.3">
      <c r="A43" t="str">
        <f>VLOOKUP(A25,$A$19:$I$26,2)</f>
        <v>Meera Patel</v>
      </c>
    </row>
    <row r="44" spans="1:6" x14ac:dyDescent="0.3">
      <c r="A44" t="str">
        <f>VLOOKUP(A26,$A$19:$I$26,2)</f>
        <v>Aryan Trivedi</v>
      </c>
    </row>
    <row r="46" spans="1:6" x14ac:dyDescent="0.3">
      <c r="A46" s="14" t="s">
        <v>62</v>
      </c>
      <c r="B46" s="14"/>
      <c r="C46" s="14"/>
      <c r="D46" s="14"/>
    </row>
    <row r="47" spans="1:6" x14ac:dyDescent="0.3">
      <c r="A47" t="str">
        <f>VLOOKUP(A11,$A$10:$I$17,2)</f>
        <v>Laptop</v>
      </c>
    </row>
    <row r="48" spans="1:6" x14ac:dyDescent="0.3">
      <c r="A48" t="str">
        <f>VLOOKUP(A12,$A$10:$I$17,2)</f>
        <v>Headphones</v>
      </c>
    </row>
    <row r="49" spans="1:7" x14ac:dyDescent="0.3">
      <c r="A49" t="str">
        <f>VLOOKUP(A13,$A$10:$I$17,2)</f>
        <v>Office Chair</v>
      </c>
    </row>
    <row r="50" spans="1:7" x14ac:dyDescent="0.3">
      <c r="A50" t="str">
        <f>VLOOKUP(A14,$A$10:$I$17,2)</f>
        <v>Notebook Pack</v>
      </c>
    </row>
    <row r="51" spans="1:7" x14ac:dyDescent="0.3">
      <c r="A51" t="str">
        <f>VLOOKUP(A15,$A$10:$I$17,2)</f>
        <v>Smartphone</v>
      </c>
    </row>
    <row r="52" spans="1:7" x14ac:dyDescent="0.3">
      <c r="A52" t="str">
        <f>VLOOKUP(A16,$A$10:$I$17,2)</f>
        <v>Table Lamp</v>
      </c>
    </row>
    <row r="53" spans="1:7" x14ac:dyDescent="0.3">
      <c r="A53" t="str">
        <f>VLOOKUP(A17,$A$10:$I$17,2)</f>
        <v>Backpack</v>
      </c>
    </row>
    <row r="55" spans="1:7" x14ac:dyDescent="0.3">
      <c r="A55" s="19" t="s">
        <v>64</v>
      </c>
      <c r="B55" s="19"/>
    </row>
    <row r="56" spans="1:7" ht="43.2" x14ac:dyDescent="0.3">
      <c r="A56" s="1" t="s">
        <v>66</v>
      </c>
      <c r="B56" s="1" t="s">
        <v>67</v>
      </c>
      <c r="C56" s="1" t="s">
        <v>63</v>
      </c>
      <c r="D56" s="1" t="s">
        <v>68</v>
      </c>
      <c r="E56" s="1" t="s">
        <v>69</v>
      </c>
      <c r="F56" s="1" t="s">
        <v>87</v>
      </c>
      <c r="G56" s="1" t="s">
        <v>112</v>
      </c>
    </row>
    <row r="57" spans="1:7" x14ac:dyDescent="0.3">
      <c r="A57" s="3">
        <v>46027</v>
      </c>
      <c r="B57" s="2" t="s">
        <v>70</v>
      </c>
      <c r="C57" s="2" t="s">
        <v>71</v>
      </c>
      <c r="D57" s="2" t="s">
        <v>72</v>
      </c>
      <c r="E57" s="2">
        <v>1200</v>
      </c>
      <c r="F57" t="str">
        <f>IF(E57&gt;2000,"Better",IF(E57&gt;1000,"Good",IF(E57&gt;500,"Average","Worst")))</f>
        <v>Good</v>
      </c>
      <c r="G57">
        <f>MONTH(A57)</f>
        <v>1</v>
      </c>
    </row>
    <row r="58" spans="1:7" x14ac:dyDescent="0.3">
      <c r="A58" s="3">
        <v>46034</v>
      </c>
      <c r="B58" s="2" t="s">
        <v>73</v>
      </c>
      <c r="C58" s="2" t="s">
        <v>74</v>
      </c>
      <c r="D58" s="2" t="s">
        <v>75</v>
      </c>
      <c r="E58" s="2">
        <v>1800</v>
      </c>
      <c r="F58" t="str">
        <f t="shared" ref="F58:F66" si="5">IF(E58&gt;2000,"Better",IF(E58&gt;1000,"Good",IF(E58&gt;500,"Average","Worst")))</f>
        <v>Good</v>
      </c>
      <c r="G58">
        <f t="shared" ref="G58:G66" si="6">MONTH(A58)</f>
        <v>1</v>
      </c>
    </row>
    <row r="59" spans="1:7" x14ac:dyDescent="0.3">
      <c r="A59" s="3">
        <v>46042</v>
      </c>
      <c r="B59" s="2" t="s">
        <v>76</v>
      </c>
      <c r="C59" s="2" t="s">
        <v>77</v>
      </c>
      <c r="D59" s="2" t="s">
        <v>78</v>
      </c>
      <c r="E59" s="2">
        <v>950</v>
      </c>
      <c r="F59" t="str">
        <f t="shared" si="5"/>
        <v>Average</v>
      </c>
      <c r="G59">
        <f t="shared" si="6"/>
        <v>1</v>
      </c>
    </row>
    <row r="60" spans="1:7" x14ac:dyDescent="0.3">
      <c r="A60" s="3">
        <v>46056</v>
      </c>
      <c r="B60" s="2" t="s">
        <v>70</v>
      </c>
      <c r="C60" s="2" t="s">
        <v>79</v>
      </c>
      <c r="D60" s="2" t="s">
        <v>72</v>
      </c>
      <c r="E60" s="2">
        <v>2100</v>
      </c>
      <c r="F60" t="str">
        <f t="shared" si="5"/>
        <v>Better</v>
      </c>
      <c r="G60">
        <f t="shared" si="6"/>
        <v>2</v>
      </c>
    </row>
    <row r="61" spans="1:7" x14ac:dyDescent="0.3">
      <c r="A61" s="3">
        <v>46063</v>
      </c>
      <c r="B61" s="2" t="s">
        <v>73</v>
      </c>
      <c r="C61" s="2" t="s">
        <v>71</v>
      </c>
      <c r="D61" s="2" t="s">
        <v>75</v>
      </c>
      <c r="E61" s="2">
        <v>1600</v>
      </c>
      <c r="F61" t="str">
        <f t="shared" si="5"/>
        <v>Good</v>
      </c>
      <c r="G61">
        <f t="shared" si="6"/>
        <v>2</v>
      </c>
    </row>
    <row r="62" spans="1:7" x14ac:dyDescent="0.3">
      <c r="A62" s="3">
        <v>46071</v>
      </c>
      <c r="B62" s="2" t="s">
        <v>76</v>
      </c>
      <c r="C62" s="2" t="s">
        <v>80</v>
      </c>
      <c r="D62" s="2" t="s">
        <v>78</v>
      </c>
      <c r="E62" s="2">
        <v>700</v>
      </c>
      <c r="F62" t="str">
        <f t="shared" si="5"/>
        <v>Average</v>
      </c>
      <c r="G62">
        <f t="shared" si="6"/>
        <v>2</v>
      </c>
    </row>
    <row r="63" spans="1:7" x14ac:dyDescent="0.3">
      <c r="A63" s="3">
        <v>46083</v>
      </c>
      <c r="B63" s="2" t="s">
        <v>70</v>
      </c>
      <c r="C63" s="2" t="s">
        <v>74</v>
      </c>
      <c r="D63" s="2" t="s">
        <v>72</v>
      </c>
      <c r="E63" s="2">
        <v>1900</v>
      </c>
      <c r="F63" t="str">
        <f t="shared" si="5"/>
        <v>Good</v>
      </c>
      <c r="G63">
        <f t="shared" si="6"/>
        <v>3</v>
      </c>
    </row>
    <row r="64" spans="1:7" x14ac:dyDescent="0.3">
      <c r="A64" s="3">
        <v>46089</v>
      </c>
      <c r="B64" s="2" t="s">
        <v>73</v>
      </c>
      <c r="C64" s="2" t="s">
        <v>77</v>
      </c>
      <c r="D64" s="2" t="s">
        <v>75</v>
      </c>
      <c r="E64" s="2">
        <v>1300</v>
      </c>
      <c r="F64" t="str">
        <f t="shared" si="5"/>
        <v>Good</v>
      </c>
      <c r="G64">
        <f t="shared" si="6"/>
        <v>3</v>
      </c>
    </row>
    <row r="65" spans="1:7" x14ac:dyDescent="0.3">
      <c r="A65" s="3">
        <v>46096</v>
      </c>
      <c r="B65" s="2" t="s">
        <v>76</v>
      </c>
      <c r="C65" s="2" t="s">
        <v>79</v>
      </c>
      <c r="D65" s="2" t="s">
        <v>78</v>
      </c>
      <c r="E65" s="2">
        <v>2200</v>
      </c>
      <c r="F65" t="str">
        <f t="shared" si="5"/>
        <v>Better</v>
      </c>
      <c r="G65">
        <f t="shared" si="6"/>
        <v>3</v>
      </c>
    </row>
    <row r="66" spans="1:7" x14ac:dyDescent="0.3">
      <c r="A66" s="3">
        <v>46106</v>
      </c>
      <c r="B66" s="2" t="s">
        <v>70</v>
      </c>
      <c r="C66" s="2" t="s">
        <v>80</v>
      </c>
      <c r="D66" s="2" t="s">
        <v>72</v>
      </c>
      <c r="E66" s="2">
        <v>800</v>
      </c>
      <c r="F66" t="str">
        <f t="shared" si="5"/>
        <v>Average</v>
      </c>
      <c r="G66">
        <f t="shared" si="6"/>
        <v>3</v>
      </c>
    </row>
    <row r="68" spans="1:7" x14ac:dyDescent="0.3">
      <c r="A68" s="14" t="s">
        <v>65</v>
      </c>
      <c r="B68" s="14"/>
      <c r="C68" s="14"/>
      <c r="D68" s="14"/>
      <c r="E68" s="14"/>
    </row>
    <row r="69" spans="1:7" x14ac:dyDescent="0.3">
      <c r="A69" cm="1">
        <f t="array" ref="A69:A70">_xlfn._xlws.FILTER(E57:E66,(B57:B66="Rahul")*(G57:G66=3),"-")</f>
        <v>1900</v>
      </c>
    </row>
    <row r="70" spans="1:7" x14ac:dyDescent="0.3">
      <c r="A70">
        <v>800</v>
      </c>
    </row>
    <row r="71" spans="1:7" x14ac:dyDescent="0.3">
      <c r="A71" s="21"/>
    </row>
    <row r="72" spans="1:7" x14ac:dyDescent="0.3">
      <c r="A72" s="21"/>
    </row>
    <row r="73" spans="1:7" x14ac:dyDescent="0.3">
      <c r="A73" s="21"/>
    </row>
    <row r="74" spans="1:7" x14ac:dyDescent="0.3">
      <c r="A74" s="21"/>
    </row>
    <row r="75" spans="1:7" x14ac:dyDescent="0.3">
      <c r="A75" s="21"/>
    </row>
    <row r="76" spans="1:7" x14ac:dyDescent="0.3">
      <c r="A76" s="14" t="s">
        <v>81</v>
      </c>
      <c r="B76" s="16"/>
      <c r="C76" s="16"/>
      <c r="D76" s="16"/>
      <c r="E76" s="16"/>
    </row>
    <row r="77" spans="1:7" x14ac:dyDescent="0.3">
      <c r="A77" t="str">
        <f>INDEX(A3:A7,MATCH(A3,A3:A7,0))</f>
        <v>Amit Shah</v>
      </c>
      <c r="B77" t="str">
        <f t="shared" ref="B77" si="7">INDEX(B3:B7,MATCH(B3,B3:B7,0))</f>
        <v>Sales</v>
      </c>
      <c r="C77" s="20">
        <f>INDEX(C3:C7,MATCH(C3,C3:C7,0))</f>
        <v>44896</v>
      </c>
      <c r="D77">
        <f t="shared" ref="D77:F77" si="8">INDEX(D3:D7,MATCH(D3,D3:D7,0))</f>
        <v>25000</v>
      </c>
      <c r="E77">
        <f t="shared" si="8"/>
        <v>5000</v>
      </c>
      <c r="F77">
        <f t="shared" si="8"/>
        <v>30000</v>
      </c>
      <c r="G77" t="str">
        <f>INDEX(G3:G7,MATCH(G3,G3:G7,0))</f>
        <v>Good</v>
      </c>
    </row>
    <row r="78" spans="1:7" x14ac:dyDescent="0.3">
      <c r="A78" t="str">
        <f t="shared" ref="A78:G78" si="9">INDEX(A4:A8,MATCH(A4,A4:A8,0))</f>
        <v>Riya Patel</v>
      </c>
      <c r="B78" t="str">
        <f t="shared" si="9"/>
        <v>HR</v>
      </c>
      <c r="C78" s="20">
        <f t="shared" si="9"/>
        <v>45049</v>
      </c>
      <c r="D78">
        <f t="shared" si="9"/>
        <v>22000</v>
      </c>
      <c r="E78">
        <f t="shared" si="9"/>
        <v>3000</v>
      </c>
      <c r="F78">
        <f t="shared" si="9"/>
        <v>25000</v>
      </c>
      <c r="G78" t="str">
        <f t="shared" si="9"/>
        <v>Average</v>
      </c>
    </row>
    <row r="79" spans="1:7" x14ac:dyDescent="0.3">
      <c r="A79" t="str">
        <f>INDEX(A5:A9,MATCH(A5,A5:A9,0))</f>
        <v>Karan Mehta</v>
      </c>
      <c r="B79" t="str">
        <f>INDEX(B5:B9,MATCH(B5,B5:B9,0))</f>
        <v>IT</v>
      </c>
      <c r="C79" s="20">
        <f>INDEX(C5:C9,MATCH(C5,C5:C9,0))</f>
        <v>44395</v>
      </c>
      <c r="D79">
        <f>INDEX(D5:D9,MATCH(D5,D5:D9,0))</f>
        <v>30000</v>
      </c>
      <c r="E79">
        <f>INDEX(E5:E9,MATCH(E5,E5:E9,0))</f>
        <v>7000</v>
      </c>
      <c r="F79">
        <f>INDEX(F5:F9,MATCH(F5,F5:F9,0))</f>
        <v>37000</v>
      </c>
      <c r="G79" t="str">
        <f>INDEX(G5:G9,MATCH(G5,G5:G9,0))</f>
        <v>Excellent</v>
      </c>
    </row>
    <row r="80" spans="1:7" x14ac:dyDescent="0.3">
      <c r="A80" t="str">
        <f t="shared" ref="A80:G80" si="10">INDEX(A6:A10,MATCH(A6,A6:A10,0))</f>
        <v>Neha Joshi</v>
      </c>
      <c r="B80" t="str">
        <f t="shared" si="10"/>
        <v>Finance</v>
      </c>
      <c r="C80" s="20">
        <f t="shared" si="10"/>
        <v>44160</v>
      </c>
      <c r="D80">
        <f t="shared" si="10"/>
        <v>28000</v>
      </c>
      <c r="E80">
        <f t="shared" si="10"/>
        <v>6000</v>
      </c>
      <c r="F80">
        <f t="shared" si="10"/>
        <v>34000</v>
      </c>
      <c r="G80" t="str">
        <f t="shared" si="10"/>
        <v>Good</v>
      </c>
    </row>
    <row r="81" spans="1:7" x14ac:dyDescent="0.3">
      <c r="A81" t="str">
        <f t="shared" ref="A81:G81" si="11">INDEX(A7:A11,MATCH(A7,A7:A11,0))</f>
        <v>Rahul Verma</v>
      </c>
      <c r="B81" t="str">
        <f t="shared" si="11"/>
        <v>Marketing</v>
      </c>
      <c r="C81" s="20">
        <f t="shared" si="11"/>
        <v>44810</v>
      </c>
      <c r="D81">
        <f t="shared" si="11"/>
        <v>26000</v>
      </c>
      <c r="E81">
        <f t="shared" si="11"/>
        <v>4000</v>
      </c>
      <c r="F81">
        <f t="shared" si="11"/>
        <v>30000</v>
      </c>
      <c r="G81" t="str">
        <f t="shared" si="11"/>
        <v>Satisfactory</v>
      </c>
    </row>
    <row r="83" spans="1:7" x14ac:dyDescent="0.3">
      <c r="A83" s="15" t="s">
        <v>82</v>
      </c>
      <c r="B83" s="17"/>
    </row>
    <row r="84" spans="1:7" x14ac:dyDescent="0.3">
      <c r="A84" s="15" t="s">
        <v>83</v>
      </c>
      <c r="B84" s="15"/>
      <c r="C84" s="15"/>
      <c r="D84" s="15"/>
    </row>
    <row r="85" spans="1:7" x14ac:dyDescent="0.3">
      <c r="A85" t="str">
        <f>LEFT(A3,4)</f>
        <v>Amit</v>
      </c>
    </row>
    <row r="86" spans="1:7" x14ac:dyDescent="0.3">
      <c r="A86" t="str">
        <f>LEFT(A4,4)</f>
        <v>Riya</v>
      </c>
    </row>
    <row r="87" spans="1:7" x14ac:dyDescent="0.3">
      <c r="A87" t="str">
        <f>LEFT(A5,5)</f>
        <v>Karan</v>
      </c>
    </row>
    <row r="88" spans="1:7" x14ac:dyDescent="0.3">
      <c r="A88" t="str">
        <f>LEFT(A6,4)</f>
        <v>Neha</v>
      </c>
    </row>
    <row r="89" spans="1:7" x14ac:dyDescent="0.3">
      <c r="A89" t="str">
        <f>LEFT(A7,5)</f>
        <v>Rahul</v>
      </c>
    </row>
    <row r="91" spans="1:7" x14ac:dyDescent="0.3">
      <c r="A91" s="15" t="s">
        <v>84</v>
      </c>
      <c r="B91" s="15"/>
      <c r="C91" s="15"/>
      <c r="D91" s="15"/>
      <c r="E91" s="15"/>
    </row>
    <row r="92" spans="1:7" x14ac:dyDescent="0.3">
      <c r="A92" t="str">
        <f>LOWER(A3)</f>
        <v>amit shah</v>
      </c>
      <c r="B92" t="str">
        <f>UPPER(A3)</f>
        <v>AMIT SHAH</v>
      </c>
    </row>
    <row r="93" spans="1:7" x14ac:dyDescent="0.3">
      <c r="A93" t="str">
        <f>LOWER(A4)</f>
        <v>riya patel</v>
      </c>
      <c r="B93" t="str">
        <f>UPPER(A4)</f>
        <v>RIYA PATEL</v>
      </c>
    </row>
    <row r="94" spans="1:7" x14ac:dyDescent="0.3">
      <c r="A94" t="str">
        <f>LOWER(A5)</f>
        <v>karan mehta</v>
      </c>
      <c r="B94" t="str">
        <f>UPPER(A5)</f>
        <v>KARAN MEHTA</v>
      </c>
    </row>
    <row r="95" spans="1:7" x14ac:dyDescent="0.3">
      <c r="A95" t="str">
        <f>LOWER(A6)</f>
        <v>neha joshi</v>
      </c>
      <c r="B95" t="str">
        <f>UPPER(A6)</f>
        <v>NEHA JOSHI</v>
      </c>
    </row>
    <row r="96" spans="1:7" x14ac:dyDescent="0.3">
      <c r="A96" t="str">
        <f>LOWER(A7)</f>
        <v>rahul verma</v>
      </c>
      <c r="B96" t="str">
        <f>UPPER(A7)</f>
        <v>RAHUL VERMA</v>
      </c>
    </row>
    <row r="98" spans="1:5" x14ac:dyDescent="0.3">
      <c r="A98" s="14" t="s">
        <v>85</v>
      </c>
      <c r="B98" s="14"/>
    </row>
    <row r="99" spans="1:5" x14ac:dyDescent="0.3">
      <c r="A99" s="14" t="s">
        <v>86</v>
      </c>
      <c r="B99" s="14"/>
      <c r="C99" s="14"/>
      <c r="D99" s="14"/>
      <c r="E99" s="14"/>
    </row>
    <row r="100" spans="1:5" x14ac:dyDescent="0.3">
      <c r="A100" t="str" cm="1">
        <f t="array" ref="A100">_xlfn.XLOOKUP("Average",F57:$F$66,B57:$B$66)</f>
        <v>Amit</v>
      </c>
    </row>
    <row r="101" spans="1:5" x14ac:dyDescent="0.3">
      <c r="A101" t="str" cm="1">
        <f t="array" ref="A101">_xlfn.XLOOKUP("Average",F58:$F$66,B58:$B$66)</f>
        <v>Amit</v>
      </c>
    </row>
    <row r="102" spans="1:5" x14ac:dyDescent="0.3">
      <c r="A102" t="str" cm="1">
        <f t="array" ref="A102">_xlfn.XLOOKUP("Average",F59:$F$66,B59:$B$66)</f>
        <v>Amit</v>
      </c>
    </row>
    <row r="103" spans="1:5" x14ac:dyDescent="0.3">
      <c r="A103" t="str" cm="1">
        <f t="array" ref="A103">_xlfn.XLOOKUP("Average",F60:$F$66,B60:$B$66)</f>
        <v>Amit</v>
      </c>
    </row>
    <row r="104" spans="1:5" x14ac:dyDescent="0.3">
      <c r="A104" t="str" cm="1">
        <f t="array" ref="A104">_xlfn.XLOOKUP("Average",F61:$F$66,B61:$B$66)</f>
        <v>Amit</v>
      </c>
    </row>
    <row r="105" spans="1:5" x14ac:dyDescent="0.3">
      <c r="A105" t="str" cm="1">
        <f t="array" ref="A105">_xlfn.XLOOKUP("Average",F62:$F$66,B62:$B$66)</f>
        <v>Amit</v>
      </c>
    </row>
    <row r="106" spans="1:5" x14ac:dyDescent="0.3">
      <c r="A106" t="str" cm="1">
        <f t="array" ref="A106">_xlfn.XLOOKUP("Average",F63:$F$66,B63:$B$66)</f>
        <v>Rahul</v>
      </c>
    </row>
    <row r="107" spans="1:5" x14ac:dyDescent="0.3">
      <c r="A107" t="str" cm="1">
        <f t="array" ref="A107">_xlfn.XLOOKUP("Average",F64:$F$66,B64:$B$66)</f>
        <v>Rahul</v>
      </c>
    </row>
    <row r="108" spans="1:5" x14ac:dyDescent="0.3">
      <c r="A108" t="str" cm="1">
        <f t="array" ref="A108">_xlfn.XLOOKUP("Average",F65:$F$66,B65:$B$66)</f>
        <v>Rahul</v>
      </c>
    </row>
    <row r="109" spans="1:5" x14ac:dyDescent="0.3">
      <c r="A109" t="str" cm="1">
        <f t="array" ref="A109">_xlfn.XLOOKUP("Average",F66:$F$66,B66:$B$66)</f>
        <v>Rahul</v>
      </c>
    </row>
    <row r="111" spans="1:5" x14ac:dyDescent="0.3">
      <c r="A111" s="15" t="s">
        <v>88</v>
      </c>
      <c r="B111" s="15"/>
      <c r="C111" s="15"/>
      <c r="D111" s="15"/>
    </row>
    <row r="112" spans="1:5" x14ac:dyDescent="0.3">
      <c r="A112">
        <f>_xlfn.XLOOKUP(A3,A3:A7,D3:D7)</f>
        <v>25000</v>
      </c>
    </row>
    <row r="113" spans="1:4" x14ac:dyDescent="0.3">
      <c r="A113">
        <f>_xlfn.XLOOKUP(A4,A4:A8,D4:D8)</f>
        <v>22000</v>
      </c>
    </row>
    <row r="114" spans="1:4" x14ac:dyDescent="0.3">
      <c r="A114">
        <f>_xlfn.XLOOKUP(A5,A5:A9,D5:D9)</f>
        <v>30000</v>
      </c>
    </row>
    <row r="115" spans="1:4" x14ac:dyDescent="0.3">
      <c r="A115">
        <f>_xlfn.XLOOKUP(A6,A6:A10,D6:D10)</f>
        <v>28000</v>
      </c>
    </row>
    <row r="116" spans="1:4" x14ac:dyDescent="0.3">
      <c r="A116">
        <f>_xlfn.XLOOKUP(A7,A7:A11,D7:D11)</f>
        <v>26000</v>
      </c>
    </row>
    <row r="118" spans="1:4" x14ac:dyDescent="0.3">
      <c r="A118" s="14" t="s">
        <v>89</v>
      </c>
      <c r="B118" s="14"/>
    </row>
    <row r="119" spans="1:4" x14ac:dyDescent="0.3">
      <c r="A119" s="14" t="s">
        <v>90</v>
      </c>
      <c r="B119" s="14"/>
      <c r="C119" s="14"/>
    </row>
    <row r="120" spans="1:4" x14ac:dyDescent="0.3">
      <c r="A120">
        <f>_xlfn.XMATCH(B11,$B$11:$B$20)</f>
        <v>1</v>
      </c>
    </row>
    <row r="121" spans="1:4" x14ac:dyDescent="0.3">
      <c r="A121">
        <f>_xlfn.XMATCH(B12,$B$11:$B$20)</f>
        <v>2</v>
      </c>
    </row>
    <row r="122" spans="1:4" x14ac:dyDescent="0.3">
      <c r="A122">
        <f>_xlfn.XMATCH(B13,$B$11:$B$20)</f>
        <v>3</v>
      </c>
    </row>
    <row r="123" spans="1:4" x14ac:dyDescent="0.3">
      <c r="A123">
        <f>_xlfn.XMATCH(B14,$B$11:$B$20)</f>
        <v>4</v>
      </c>
    </row>
    <row r="124" spans="1:4" x14ac:dyDescent="0.3">
      <c r="A124">
        <f>_xlfn.XMATCH(B15,$B$11:$B$20)</f>
        <v>5</v>
      </c>
    </row>
    <row r="125" spans="1:4" x14ac:dyDescent="0.3">
      <c r="A125">
        <f>_xlfn.XMATCH(B16,$B$11:$B$20)</f>
        <v>6</v>
      </c>
    </row>
    <row r="127" spans="1:4" x14ac:dyDescent="0.3">
      <c r="A127" s="14" t="s">
        <v>91</v>
      </c>
      <c r="B127" s="14"/>
    </row>
    <row r="128" spans="1:4" x14ac:dyDescent="0.3">
      <c r="A128" s="7" t="s">
        <v>92</v>
      </c>
      <c r="B128" s="7"/>
      <c r="C128" s="7"/>
      <c r="D128" s="7"/>
    </row>
    <row r="129" spans="1:3" x14ac:dyDescent="0.3">
      <c r="A129" s="10" t="s">
        <v>93</v>
      </c>
      <c r="B129" t="s">
        <v>94</v>
      </c>
    </row>
    <row r="130" spans="1:3" x14ac:dyDescent="0.3">
      <c r="A130">
        <v>100</v>
      </c>
      <c r="B130" t="s">
        <v>95</v>
      </c>
    </row>
    <row r="131" spans="1:3" x14ac:dyDescent="0.3">
      <c r="A131" s="11" t="s">
        <v>96</v>
      </c>
      <c r="B131" cm="1">
        <f t="array" aca="1" ref="B131" ca="1">INDIRECT(B130)</f>
        <v>2</v>
      </c>
    </row>
    <row r="133" spans="1:3" x14ac:dyDescent="0.3">
      <c r="A133" s="22"/>
    </row>
    <row r="134" spans="1:3" x14ac:dyDescent="0.3">
      <c r="A134" s="23"/>
    </row>
    <row r="137" spans="1:3" x14ac:dyDescent="0.3">
      <c r="A137" s="9" t="s">
        <v>97</v>
      </c>
    </row>
    <row r="138" spans="1:3" x14ac:dyDescent="0.3">
      <c r="A138" s="8" t="s">
        <v>98</v>
      </c>
    </row>
    <row r="139" spans="1:3" x14ac:dyDescent="0.3">
      <c r="A139" s="1" t="s">
        <v>0</v>
      </c>
      <c r="B139" s="1" t="s">
        <v>99</v>
      </c>
      <c r="C139" s="11" t="s">
        <v>103</v>
      </c>
    </row>
    <row r="140" spans="1:3" x14ac:dyDescent="0.3">
      <c r="A140" s="2" t="s">
        <v>100</v>
      </c>
      <c r="B140" s="3">
        <v>35036</v>
      </c>
      <c r="C140" s="12">
        <f ca="1">DATEDIF(B140, TODAY(), "Y")</f>
        <v>30</v>
      </c>
    </row>
    <row r="141" spans="1:3" x14ac:dyDescent="0.3">
      <c r="A141" s="2" t="s">
        <v>101</v>
      </c>
      <c r="B141" s="5">
        <v>35983</v>
      </c>
      <c r="C141" s="12">
        <f t="shared" ref="C141:C142" ca="1" si="12">DATEDIF(B141, TODAY(), "Y")</f>
        <v>27</v>
      </c>
    </row>
    <row r="142" spans="1:3" x14ac:dyDescent="0.3">
      <c r="A142" s="2" t="s">
        <v>102</v>
      </c>
      <c r="B142" s="3">
        <v>34223</v>
      </c>
      <c r="C142" s="12">
        <f t="shared" ca="1" si="12"/>
        <v>32</v>
      </c>
    </row>
    <row r="144" spans="1:3" x14ac:dyDescent="0.3">
      <c r="A144" s="8" t="s">
        <v>104</v>
      </c>
    </row>
    <row r="145" spans="1:8" x14ac:dyDescent="0.3">
      <c r="A145" s="1" t="s">
        <v>105</v>
      </c>
      <c r="B145" s="1" t="s">
        <v>106</v>
      </c>
      <c r="C145" s="11" t="s">
        <v>107</v>
      </c>
    </row>
    <row r="146" spans="1:8" x14ac:dyDescent="0.3">
      <c r="A146" s="3">
        <v>45292</v>
      </c>
      <c r="B146" s="3">
        <v>45302</v>
      </c>
      <c r="C146" s="13">
        <f>DATEDIF(A146,B146,"D")</f>
        <v>10</v>
      </c>
    </row>
    <row r="147" spans="1:8" x14ac:dyDescent="0.3">
      <c r="A147" s="3">
        <v>45567</v>
      </c>
      <c r="B147" s="3">
        <v>45587</v>
      </c>
      <c r="C147" s="13">
        <f t="shared" ref="C147:C148" si="13">DATEDIF(A147,B147,"D")</f>
        <v>20</v>
      </c>
    </row>
    <row r="148" spans="1:8" x14ac:dyDescent="0.3">
      <c r="A148" s="3">
        <v>45415</v>
      </c>
      <c r="B148" s="3">
        <v>45432</v>
      </c>
      <c r="C148" s="13">
        <f t="shared" si="13"/>
        <v>17</v>
      </c>
    </row>
    <row r="150" spans="1:8" x14ac:dyDescent="0.3">
      <c r="A150" s="9" t="s">
        <v>108</v>
      </c>
    </row>
    <row r="151" spans="1:8" x14ac:dyDescent="0.3">
      <c r="A151" s="14" t="s">
        <v>109</v>
      </c>
      <c r="B151" s="14"/>
    </row>
    <row r="152" spans="1:8" ht="28.8" x14ac:dyDescent="0.3">
      <c r="A152" s="1" t="s">
        <v>41</v>
      </c>
      <c r="B152" s="1" t="s">
        <v>42</v>
      </c>
      <c r="C152" s="1" t="s">
        <v>44</v>
      </c>
      <c r="D152" s="1" t="s">
        <v>45</v>
      </c>
      <c r="E152" s="1" t="s">
        <v>46</v>
      </c>
      <c r="F152" s="1" t="s">
        <v>47</v>
      </c>
      <c r="G152" s="1" t="s">
        <v>48</v>
      </c>
      <c r="H152" s="1" t="s">
        <v>49</v>
      </c>
    </row>
    <row r="153" spans="1:8" x14ac:dyDescent="0.3">
      <c r="A153" s="2">
        <v>1</v>
      </c>
      <c r="B153" s="2" t="s">
        <v>50</v>
      </c>
      <c r="C153" s="2">
        <v>78</v>
      </c>
      <c r="D153" s="2">
        <v>85</v>
      </c>
      <c r="E153" s="2">
        <v>80</v>
      </c>
      <c r="F153" s="2">
        <f>SUM(C153:E153)</f>
        <v>243</v>
      </c>
      <c r="G153" s="2">
        <f>ROUND(PRODUCT($F153,100)/300,0)</f>
        <v>81</v>
      </c>
      <c r="H153" s="2" t="str">
        <f>IF(G153&gt;80,"A",IF(G153&gt;65,"B",IF(G153&gt;45,"C","D")))</f>
        <v>A</v>
      </c>
    </row>
    <row r="154" spans="1:8" x14ac:dyDescent="0.3">
      <c r="A154" s="2">
        <v>2</v>
      </c>
      <c r="B154" s="2" t="s">
        <v>51</v>
      </c>
      <c r="C154" s="2">
        <v>92</v>
      </c>
      <c r="D154" s="2">
        <v>88</v>
      </c>
      <c r="E154" s="2">
        <v>95</v>
      </c>
      <c r="F154" s="2">
        <f t="shared" ref="F154:F159" si="14">SUM(C154:E154)</f>
        <v>275</v>
      </c>
      <c r="G154" s="2">
        <f>ROUND(PRODUCT($F154,100)/300,0)</f>
        <v>92</v>
      </c>
      <c r="H154" s="2" t="str">
        <f t="shared" ref="H154:H159" si="15">IF(G154&gt;80,"A",IF(G154&gt;65,"B",IF(G154&gt;45,"C","D")))</f>
        <v>A</v>
      </c>
    </row>
    <row r="155" spans="1:8" x14ac:dyDescent="0.3">
      <c r="A155" s="2">
        <v>3</v>
      </c>
      <c r="B155" s="2" t="s">
        <v>52</v>
      </c>
      <c r="C155" s="2">
        <v>65</v>
      </c>
      <c r="D155" s="2">
        <v>70</v>
      </c>
      <c r="E155" s="2">
        <v>60</v>
      </c>
      <c r="F155" s="2">
        <f t="shared" si="14"/>
        <v>195</v>
      </c>
      <c r="G155" s="2">
        <f>PRODUCT($F155,100)/300</f>
        <v>65</v>
      </c>
      <c r="H155" s="2" t="str">
        <f t="shared" si="15"/>
        <v>C</v>
      </c>
    </row>
    <row r="156" spans="1:8" x14ac:dyDescent="0.3">
      <c r="A156" s="2">
        <v>4</v>
      </c>
      <c r="B156" s="2" t="s">
        <v>53</v>
      </c>
      <c r="C156" s="2">
        <v>55</v>
      </c>
      <c r="D156" s="2">
        <v>60</v>
      </c>
      <c r="E156" s="2">
        <v>58</v>
      </c>
      <c r="F156" s="2">
        <f t="shared" si="14"/>
        <v>173</v>
      </c>
      <c r="G156" s="2">
        <f>FLOOR(PRODUCT($F156,100)/300,0.01)</f>
        <v>57.660000000000004</v>
      </c>
      <c r="H156" s="2" t="str">
        <f t="shared" si="15"/>
        <v>C</v>
      </c>
    </row>
    <row r="157" spans="1:8" x14ac:dyDescent="0.3">
      <c r="A157" s="2">
        <v>5</v>
      </c>
      <c r="B157" s="2" t="s">
        <v>54</v>
      </c>
      <c r="C157" s="2">
        <v>81</v>
      </c>
      <c r="D157" s="2">
        <v>79</v>
      </c>
      <c r="E157" s="2">
        <v>85</v>
      </c>
      <c r="F157" s="2">
        <f t="shared" si="14"/>
        <v>245</v>
      </c>
      <c r="G157" s="2">
        <f>CEILING(PRODUCT($F157,100)/300,0.1)</f>
        <v>81.7</v>
      </c>
      <c r="H157" s="2" t="str">
        <f t="shared" si="15"/>
        <v>A</v>
      </c>
    </row>
    <row r="158" spans="1:8" x14ac:dyDescent="0.3">
      <c r="A158" s="2">
        <v>6</v>
      </c>
      <c r="B158" s="2" t="s">
        <v>55</v>
      </c>
      <c r="C158" s="2">
        <v>90</v>
      </c>
      <c r="D158" s="2">
        <v>93</v>
      </c>
      <c r="E158" s="2">
        <v>89</v>
      </c>
      <c r="F158" s="2">
        <f t="shared" si="14"/>
        <v>272</v>
      </c>
      <c r="G158" s="2">
        <f>FLOOR(PRODUCT($F158,100)/300,1)</f>
        <v>90</v>
      </c>
      <c r="H158" s="2" t="str">
        <f t="shared" si="15"/>
        <v>A</v>
      </c>
    </row>
    <row r="159" spans="1:8" x14ac:dyDescent="0.3">
      <c r="A159" s="2">
        <v>7</v>
      </c>
      <c r="B159" s="2" t="s">
        <v>56</v>
      </c>
      <c r="C159" s="2">
        <v>72</v>
      </c>
      <c r="D159" s="2">
        <v>68</v>
      </c>
      <c r="E159" s="2">
        <v>75</v>
      </c>
      <c r="F159" s="2">
        <f t="shared" si="14"/>
        <v>215</v>
      </c>
      <c r="G159" s="2">
        <f>CEILING(PRODUCT($F159,100)/300,0.1)</f>
        <v>71.7</v>
      </c>
      <c r="H159" s="2" t="str">
        <f t="shared" si="15"/>
        <v>B</v>
      </c>
    </row>
    <row r="161" spans="1:8" x14ac:dyDescent="0.3">
      <c r="A161" s="9" t="s">
        <v>110</v>
      </c>
    </row>
    <row r="162" spans="1:8" x14ac:dyDescent="0.3">
      <c r="A162" s="14" t="s">
        <v>111</v>
      </c>
      <c r="B162" s="14"/>
    </row>
    <row r="163" spans="1:8" x14ac:dyDescent="0.3">
      <c r="A163" cm="1">
        <f t="array" ref="A163:H166">_xlfn._xlws.FILTER(A153:H159,H153:H159="A","-")</f>
        <v>1</v>
      </c>
      <c r="B163" t="str">
        <v>Aarav Patel</v>
      </c>
      <c r="C163">
        <v>78</v>
      </c>
      <c r="D163">
        <v>85</v>
      </c>
      <c r="E163">
        <v>80</v>
      </c>
      <c r="F163">
        <v>243</v>
      </c>
      <c r="G163">
        <v>81</v>
      </c>
      <c r="H163" t="str">
        <v>A</v>
      </c>
    </row>
    <row r="164" spans="1:8" x14ac:dyDescent="0.3">
      <c r="A164">
        <v>2</v>
      </c>
      <c r="B164" t="str">
        <v>Diya Shah</v>
      </c>
      <c r="C164">
        <v>92</v>
      </c>
      <c r="D164">
        <v>88</v>
      </c>
      <c r="E164">
        <v>95</v>
      </c>
      <c r="F164">
        <v>275</v>
      </c>
      <c r="G164">
        <v>92</v>
      </c>
      <c r="H164" t="str">
        <v>A</v>
      </c>
    </row>
    <row r="165" spans="1:8" x14ac:dyDescent="0.3">
      <c r="A165">
        <v>5</v>
      </c>
      <c r="B165" t="str">
        <v>Vivaan Desai</v>
      </c>
      <c r="C165">
        <v>81</v>
      </c>
      <c r="D165">
        <v>79</v>
      </c>
      <c r="E165">
        <v>85</v>
      </c>
      <c r="F165">
        <v>245</v>
      </c>
      <c r="G165">
        <v>81.7</v>
      </c>
      <c r="H165" t="str">
        <v>A</v>
      </c>
    </row>
    <row r="166" spans="1:8" x14ac:dyDescent="0.3">
      <c r="A166">
        <v>6</v>
      </c>
      <c r="B166" t="str">
        <v>Meera Patel</v>
      </c>
      <c r="C166">
        <v>90</v>
      </c>
      <c r="D166">
        <v>93</v>
      </c>
      <c r="E166">
        <v>89</v>
      </c>
      <c r="F166">
        <v>272</v>
      </c>
      <c r="G166">
        <v>90</v>
      </c>
      <c r="H166" t="str">
        <v>A</v>
      </c>
    </row>
  </sheetData>
  <mergeCells count="22">
    <mergeCell ref="A151:B151"/>
    <mergeCell ref="A162:B162"/>
    <mergeCell ref="A37:E37"/>
    <mergeCell ref="A46:D46"/>
    <mergeCell ref="A55:B55"/>
    <mergeCell ref="A68:E68"/>
    <mergeCell ref="A36:B36"/>
    <mergeCell ref="A1:G1"/>
    <mergeCell ref="A9:G9"/>
    <mergeCell ref="A27:E27"/>
    <mergeCell ref="A30:D30"/>
    <mergeCell ref="A33:F33"/>
    <mergeCell ref="A76:E76"/>
    <mergeCell ref="A83:B83"/>
    <mergeCell ref="A84:D84"/>
    <mergeCell ref="A91:E91"/>
    <mergeCell ref="A98:B98"/>
    <mergeCell ref="A99:E99"/>
    <mergeCell ref="A111:D111"/>
    <mergeCell ref="A118:B118"/>
    <mergeCell ref="A119:C119"/>
    <mergeCell ref="A127:B127"/>
  </mergeCells>
  <dataValidations disablePrompts="1" count="1">
    <dataValidation type="decimal" allowBlank="1" showInputMessage="1" showErrorMessage="1" sqref="G57:G66" xr:uid="{F0DED769-26A5-49BA-AC0C-56C66A1237E2}">
      <formula1>1</formula1>
      <formula2>12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LAMBA</dc:creator>
  <cp:lastModifiedBy>SUBHASH LAMBA</cp:lastModifiedBy>
  <dcterms:created xsi:type="dcterms:W3CDTF">2026-04-21T00:35:29Z</dcterms:created>
  <dcterms:modified xsi:type="dcterms:W3CDTF">2026-04-22T03:30:31Z</dcterms:modified>
</cp:coreProperties>
</file>
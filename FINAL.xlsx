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bha\OneDrive\Documents\"/>
    </mc:Choice>
  </mc:AlternateContent>
  <xr:revisionPtr revIDLastSave="0" documentId="13_ncr:1_{92482361-3DE9-4CC2-978F-4781A9AE4D08}" xr6:coauthVersionLast="47" xr6:coauthVersionMax="47" xr10:uidLastSave="{00000000-0000-0000-0000-000000000000}"/>
  <bookViews>
    <workbookView xWindow="-108" yWindow="-108" windowWidth="23256" windowHeight="12456" activeTab="3" xr2:uid="{88AC6867-D79E-4F01-8DA0-DCCF1435C0E7}"/>
  </bookViews>
  <sheets>
    <sheet name="Sheet1" sheetId="1" r:id="rId1"/>
    <sheet name="Sheet2" sheetId="5" r:id="rId2"/>
    <sheet name="Pivot Table" sheetId="6" r:id="rId3"/>
    <sheet name="Dashboard" sheetId="7" r:id="rId4"/>
    <sheet name="Linear Regression" sheetId="4" r:id="rId5"/>
    <sheet name="WhatIf" sheetId="3" r:id="rId6"/>
  </sheets>
  <calcPr calcId="191029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4" i="5" l="1" a="1"/>
  <c r="A24" i="5"/>
  <c r="A25" i="5" a="1"/>
  <c r="A25" i="5"/>
  <c r="A26" i="5" a="1"/>
  <c r="A26" i="5" s="1"/>
  <c r="A27" i="5" a="1"/>
  <c r="A27" i="5" s="1"/>
  <c r="A28" i="5" a="1"/>
  <c r="A28" i="5"/>
  <c r="A29" i="5" a="1"/>
  <c r="A29" i="5"/>
  <c r="A23" i="5" a="1"/>
  <c r="A23" i="5" s="1"/>
  <c r="D10" i="5"/>
  <c r="D11" i="5"/>
  <c r="D12" i="5"/>
  <c r="D13" i="5"/>
  <c r="D14" i="5"/>
  <c r="D15" i="5"/>
  <c r="D16" i="5"/>
  <c r="D17" i="5"/>
  <c r="D18" i="5"/>
  <c r="D19" i="5"/>
  <c r="D20" i="5"/>
  <c r="D9" i="5"/>
  <c r="D9" i="4"/>
  <c r="D10" i="4"/>
  <c r="A5" i="5" a="1"/>
  <c r="A5" i="5"/>
  <c r="A2" i="5"/>
  <c r="N11" i="1"/>
  <c r="D8" i="4"/>
  <c r="J18" i="4"/>
  <c r="J17" i="4"/>
  <c r="P4" i="4"/>
  <c r="O5" i="4"/>
  <c r="O6" i="4"/>
  <c r="O7" i="4"/>
  <c r="O8" i="4"/>
  <c r="O4" i="4"/>
  <c r="I4" i="4"/>
  <c r="L5" i="4"/>
  <c r="M5" i="4" s="1"/>
  <c r="L6" i="4"/>
  <c r="M6" i="4" s="1"/>
  <c r="L7" i="4"/>
  <c r="M7" i="4" s="1"/>
  <c r="L8" i="4"/>
  <c r="M8" i="4" s="1"/>
  <c r="L4" i="4"/>
  <c r="M4" i="4" s="1"/>
  <c r="K5" i="4"/>
  <c r="K6" i="4"/>
  <c r="K7" i="4"/>
  <c r="K8" i="4"/>
  <c r="K4" i="4"/>
  <c r="B6" i="3"/>
  <c r="N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T2" i="1" a="1"/>
  <c r="T2" i="1" s="1"/>
  <c r="P94" i="1"/>
  <c r="P214" i="1"/>
  <c r="P215" i="1"/>
  <c r="P97" i="1"/>
  <c r="P230" i="1"/>
  <c r="P98" i="1"/>
  <c r="P216" i="1"/>
  <c r="P24" i="1"/>
  <c r="P217" i="1"/>
  <c r="P224" i="1"/>
  <c r="P99" i="1"/>
  <c r="P130" i="1"/>
  <c r="P218" i="1"/>
  <c r="P31" i="1"/>
  <c r="P72" i="1"/>
  <c r="P118" i="1"/>
  <c r="P43" i="1"/>
  <c r="P8" i="1"/>
  <c r="P95" i="1"/>
  <c r="P12" i="1"/>
  <c r="P19" i="1"/>
  <c r="P63" i="1"/>
  <c r="P61" i="1"/>
  <c r="P53" i="1"/>
  <c r="P38" i="1"/>
  <c r="P190" i="1"/>
  <c r="P143" i="1"/>
  <c r="P231" i="1"/>
  <c r="P196" i="1"/>
  <c r="P69" i="1"/>
  <c r="P160" i="1"/>
  <c r="P131" i="1"/>
  <c r="P73" i="1"/>
  <c r="P78" i="1"/>
  <c r="P191" i="1"/>
  <c r="P114" i="1"/>
  <c r="P13" i="1"/>
  <c r="P180" i="1"/>
  <c r="P245" i="1"/>
  <c r="P232" i="1"/>
  <c r="P237" i="1"/>
  <c r="P144" i="1"/>
  <c r="P54" i="1"/>
  <c r="P238" i="1"/>
  <c r="P161" i="1"/>
  <c r="P197" i="1"/>
  <c r="P145" i="1"/>
  <c r="P202" i="1"/>
  <c r="P2" i="1"/>
  <c r="P3" i="1"/>
  <c r="P249" i="1"/>
  <c r="P108" i="1"/>
  <c r="P153" i="1"/>
  <c r="P246" i="1"/>
  <c r="P203" i="1"/>
  <c r="P32" i="1"/>
  <c r="P9" i="1"/>
  <c r="P225" i="1"/>
  <c r="P204" i="1"/>
  <c r="P239" i="1"/>
  <c r="P240" i="1"/>
  <c r="P152" i="1"/>
  <c r="P226" i="1"/>
  <c r="P44" i="1"/>
  <c r="P146" i="1"/>
  <c r="P198" i="1"/>
  <c r="P227" i="1"/>
  <c r="P157" i="1"/>
  <c r="P150" i="1"/>
  <c r="P219" i="1"/>
  <c r="P132" i="1"/>
  <c r="P115" i="1"/>
  <c r="P74" i="1"/>
  <c r="P4" i="1"/>
  <c r="P233" i="1"/>
  <c r="P64" i="1"/>
  <c r="P126" i="1"/>
  <c r="P158" i="1"/>
  <c r="P205" i="1"/>
  <c r="P79" i="1"/>
  <c r="P45" i="1"/>
  <c r="P10" i="1"/>
  <c r="P162" i="1"/>
  <c r="P163" i="1"/>
  <c r="P241" i="1"/>
  <c r="P39" i="1"/>
  <c r="P119" i="1"/>
  <c r="P55" i="1"/>
  <c r="P96" i="1"/>
  <c r="P88" i="1"/>
  <c r="P70" i="1"/>
  <c r="P206" i="1"/>
  <c r="P5" i="1"/>
  <c r="P133" i="1"/>
  <c r="P100" i="1"/>
  <c r="P192" i="1"/>
  <c r="P127" i="1"/>
  <c r="P105" i="1"/>
  <c r="P134" i="1"/>
  <c r="P46" i="1"/>
  <c r="P186" i="1"/>
  <c r="P187" i="1"/>
  <c r="P47" i="1"/>
  <c r="P220" i="1"/>
  <c r="P221" i="1"/>
  <c r="P154" i="1"/>
  <c r="P247" i="1"/>
  <c r="P80" i="1"/>
  <c r="P207" i="1"/>
  <c r="P120" i="1"/>
  <c r="P128" i="1"/>
  <c r="P89" i="1"/>
  <c r="P147" i="1"/>
  <c r="P228" i="1"/>
  <c r="P20" i="1"/>
  <c r="P25" i="1"/>
  <c r="P135" i="1"/>
  <c r="P109" i="1"/>
  <c r="P201" i="1"/>
  <c r="P62" i="1"/>
  <c r="P234" i="1"/>
  <c r="P121" i="1"/>
  <c r="P48" i="1"/>
  <c r="P136" i="1"/>
  <c r="P81" i="1"/>
  <c r="P26" i="1"/>
  <c r="P14" i="1"/>
  <c r="P21" i="1"/>
  <c r="P75" i="1"/>
  <c r="P164" i="1"/>
  <c r="P181" i="1"/>
  <c r="P165" i="1"/>
  <c r="P49" i="1"/>
  <c r="P15" i="1"/>
  <c r="P182" i="1"/>
  <c r="P56" i="1"/>
  <c r="P82" i="1"/>
  <c r="P183" i="1"/>
  <c r="P166" i="1"/>
  <c r="P188" i="1"/>
  <c r="P137" i="1"/>
  <c r="P176" i="1"/>
  <c r="P65" i="1"/>
  <c r="P101" i="1"/>
  <c r="P222" i="1"/>
  <c r="P102" i="1"/>
  <c r="P50" i="1"/>
  <c r="P90" i="1"/>
  <c r="P250" i="1"/>
  <c r="P33" i="1"/>
  <c r="P57" i="1"/>
  <c r="P167" i="1"/>
  <c r="P83" i="1"/>
  <c r="P58" i="1"/>
  <c r="P168" i="1"/>
  <c r="P16" i="1"/>
  <c r="P66" i="1"/>
  <c r="P22" i="1"/>
  <c r="P129" i="1"/>
  <c r="P223" i="1"/>
  <c r="P155" i="1"/>
  <c r="P193" i="1"/>
  <c r="P37" i="1"/>
  <c r="P229" i="1"/>
  <c r="P110" i="1"/>
  <c r="P235" i="1"/>
  <c r="P242" i="1"/>
  <c r="P6" i="1"/>
  <c r="P169" i="1"/>
  <c r="P170" i="1"/>
  <c r="P138" i="1"/>
  <c r="P111" i="1"/>
  <c r="P112" i="1"/>
  <c r="P91" i="1"/>
  <c r="P243" i="1"/>
  <c r="P103" i="1"/>
  <c r="P76" i="1"/>
  <c r="P208" i="1"/>
  <c r="P77" i="1"/>
  <c r="P104" i="1"/>
  <c r="P84" i="1"/>
  <c r="P34" i="1"/>
  <c r="P71" i="1"/>
  <c r="P59" i="1"/>
  <c r="P122" i="1"/>
  <c r="P35" i="1"/>
  <c r="P248" i="1"/>
  <c r="P159" i="1"/>
  <c r="P67" i="1"/>
  <c r="P171" i="1"/>
  <c r="P85" i="1"/>
  <c r="P92" i="1"/>
  <c r="P40" i="1"/>
  <c r="P139" i="1"/>
  <c r="P177" i="1"/>
  <c r="P199" i="1"/>
  <c r="P68" i="1"/>
  <c r="P11" i="1"/>
  <c r="P86" i="1"/>
  <c r="P51" i="1"/>
  <c r="P23" i="1"/>
  <c r="P209" i="1"/>
  <c r="P184" i="1"/>
  <c r="P251" i="1"/>
  <c r="P140" i="1"/>
  <c r="P41" i="1"/>
  <c r="P178" i="1"/>
  <c r="P194" i="1"/>
  <c r="P116" i="1"/>
  <c r="P210" i="1"/>
  <c r="P172" i="1"/>
  <c r="P17" i="1"/>
  <c r="P141" i="1"/>
  <c r="P27" i="1"/>
  <c r="P117" i="1"/>
  <c r="P42" i="1"/>
  <c r="P106" i="1"/>
  <c r="P107" i="1"/>
  <c r="P123" i="1"/>
  <c r="P148" i="1"/>
  <c r="P151" i="1"/>
  <c r="P200" i="1"/>
  <c r="P113" i="1"/>
  <c r="P173" i="1"/>
  <c r="P18" i="1"/>
  <c r="P179" i="1"/>
  <c r="P211" i="1"/>
  <c r="P60" i="1"/>
  <c r="P174" i="1"/>
  <c r="P7" i="1"/>
  <c r="P124" i="1"/>
  <c r="P189" i="1"/>
  <c r="P236" i="1"/>
  <c r="P175" i="1"/>
  <c r="P28" i="1"/>
  <c r="P29" i="1"/>
  <c r="P87" i="1"/>
  <c r="P125" i="1"/>
  <c r="P156" i="1"/>
  <c r="P149" i="1"/>
  <c r="P142" i="1"/>
  <c r="P212" i="1"/>
  <c r="P52" i="1"/>
  <c r="P30" i="1"/>
  <c r="P195" i="1"/>
  <c r="P244" i="1"/>
  <c r="P36" i="1"/>
  <c r="P213" i="1"/>
  <c r="P185" i="1"/>
  <c r="P93" i="1"/>
  <c r="O94" i="1"/>
  <c r="O214" i="1"/>
  <c r="O215" i="1"/>
  <c r="O97" i="1"/>
  <c r="O230" i="1"/>
  <c r="O98" i="1"/>
  <c r="O216" i="1"/>
  <c r="O24" i="1"/>
  <c r="O217" i="1"/>
  <c r="O224" i="1"/>
  <c r="O99" i="1"/>
  <c r="O130" i="1"/>
  <c r="O218" i="1"/>
  <c r="O31" i="1"/>
  <c r="O72" i="1"/>
  <c r="O118" i="1"/>
  <c r="O43" i="1"/>
  <c r="O8" i="1"/>
  <c r="O95" i="1"/>
  <c r="O12" i="1"/>
  <c r="O19" i="1"/>
  <c r="O63" i="1"/>
  <c r="O61" i="1"/>
  <c r="O53" i="1"/>
  <c r="O38" i="1"/>
  <c r="O190" i="1"/>
  <c r="O143" i="1"/>
  <c r="O231" i="1"/>
  <c r="O196" i="1"/>
  <c r="O69" i="1"/>
  <c r="O160" i="1"/>
  <c r="O131" i="1"/>
  <c r="O73" i="1"/>
  <c r="O78" i="1"/>
  <c r="O191" i="1"/>
  <c r="O114" i="1"/>
  <c r="O13" i="1"/>
  <c r="O180" i="1"/>
  <c r="O245" i="1"/>
  <c r="O232" i="1"/>
  <c r="O237" i="1"/>
  <c r="O144" i="1"/>
  <c r="O54" i="1"/>
  <c r="O238" i="1"/>
  <c r="O161" i="1"/>
  <c r="O197" i="1"/>
  <c r="O145" i="1"/>
  <c r="O202" i="1"/>
  <c r="O2" i="1"/>
  <c r="O3" i="1"/>
  <c r="O249" i="1"/>
  <c r="O108" i="1"/>
  <c r="O153" i="1"/>
  <c r="O246" i="1"/>
  <c r="O203" i="1"/>
  <c r="O32" i="1"/>
  <c r="O9" i="1"/>
  <c r="O225" i="1"/>
  <c r="O204" i="1"/>
  <c r="O239" i="1"/>
  <c r="O240" i="1"/>
  <c r="O152" i="1"/>
  <c r="O226" i="1"/>
  <c r="O44" i="1"/>
  <c r="O146" i="1"/>
  <c r="O198" i="1"/>
  <c r="O227" i="1"/>
  <c r="O157" i="1"/>
  <c r="O150" i="1"/>
  <c r="O219" i="1"/>
  <c r="O132" i="1"/>
  <c r="O115" i="1"/>
  <c r="O74" i="1"/>
  <c r="O4" i="1"/>
  <c r="O233" i="1"/>
  <c r="O64" i="1"/>
  <c r="O126" i="1"/>
  <c r="O158" i="1"/>
  <c r="O205" i="1"/>
  <c r="O79" i="1"/>
  <c r="O45" i="1"/>
  <c r="O10" i="1"/>
  <c r="O162" i="1"/>
  <c r="O163" i="1"/>
  <c r="O241" i="1"/>
  <c r="O39" i="1"/>
  <c r="O119" i="1"/>
  <c r="O55" i="1"/>
  <c r="O96" i="1"/>
  <c r="O88" i="1"/>
  <c r="O70" i="1"/>
  <c r="O206" i="1"/>
  <c r="O5" i="1"/>
  <c r="O133" i="1"/>
  <c r="O100" i="1"/>
  <c r="O192" i="1"/>
  <c r="O127" i="1"/>
  <c r="O105" i="1"/>
  <c r="O134" i="1"/>
  <c r="O46" i="1"/>
  <c r="O186" i="1"/>
  <c r="O187" i="1"/>
  <c r="O47" i="1"/>
  <c r="O220" i="1"/>
  <c r="O221" i="1"/>
  <c r="O154" i="1"/>
  <c r="O247" i="1"/>
  <c r="O80" i="1"/>
  <c r="O207" i="1"/>
  <c r="O120" i="1"/>
  <c r="O128" i="1"/>
  <c r="O89" i="1"/>
  <c r="O147" i="1"/>
  <c r="O228" i="1"/>
  <c r="O20" i="1"/>
  <c r="O25" i="1"/>
  <c r="O135" i="1"/>
  <c r="O109" i="1"/>
  <c r="O201" i="1"/>
  <c r="O62" i="1"/>
  <c r="O234" i="1"/>
  <c r="O121" i="1"/>
  <c r="O48" i="1"/>
  <c r="O136" i="1"/>
  <c r="O81" i="1"/>
  <c r="O26" i="1"/>
  <c r="O14" i="1"/>
  <c r="O21" i="1"/>
  <c r="O75" i="1"/>
  <c r="O164" i="1"/>
  <c r="O181" i="1"/>
  <c r="O165" i="1"/>
  <c r="O49" i="1"/>
  <c r="O15" i="1"/>
  <c r="O182" i="1"/>
  <c r="O56" i="1"/>
  <c r="O82" i="1"/>
  <c r="O183" i="1"/>
  <c r="O166" i="1"/>
  <c r="O188" i="1"/>
  <c r="O137" i="1"/>
  <c r="O176" i="1"/>
  <c r="O65" i="1"/>
  <c r="O101" i="1"/>
  <c r="O222" i="1"/>
  <c r="O102" i="1"/>
  <c r="O50" i="1"/>
  <c r="O90" i="1"/>
  <c r="O250" i="1"/>
  <c r="O33" i="1"/>
  <c r="O57" i="1"/>
  <c r="O167" i="1"/>
  <c r="O83" i="1"/>
  <c r="O58" i="1"/>
  <c r="O168" i="1"/>
  <c r="O16" i="1"/>
  <c r="O66" i="1"/>
  <c r="O22" i="1"/>
  <c r="O129" i="1"/>
  <c r="O223" i="1"/>
  <c r="O155" i="1"/>
  <c r="O193" i="1"/>
  <c r="O37" i="1"/>
  <c r="O229" i="1"/>
  <c r="O110" i="1"/>
  <c r="O235" i="1"/>
  <c r="O242" i="1"/>
  <c r="O6" i="1"/>
  <c r="O169" i="1"/>
  <c r="O170" i="1"/>
  <c r="O138" i="1"/>
  <c r="O111" i="1"/>
  <c r="O112" i="1"/>
  <c r="O91" i="1"/>
  <c r="O243" i="1"/>
  <c r="O103" i="1"/>
  <c r="O76" i="1"/>
  <c r="O208" i="1"/>
  <c r="O77" i="1"/>
  <c r="O104" i="1"/>
  <c r="O84" i="1"/>
  <c r="O34" i="1"/>
  <c r="O71" i="1"/>
  <c r="O59" i="1"/>
  <c r="O122" i="1"/>
  <c r="O35" i="1"/>
  <c r="O248" i="1"/>
  <c r="O159" i="1"/>
  <c r="O67" i="1"/>
  <c r="O171" i="1"/>
  <c r="O85" i="1"/>
  <c r="O92" i="1"/>
  <c r="O40" i="1"/>
  <c r="O139" i="1"/>
  <c r="O177" i="1"/>
  <c r="O199" i="1"/>
  <c r="O68" i="1"/>
  <c r="O11" i="1"/>
  <c r="O86" i="1"/>
  <c r="O51" i="1"/>
  <c r="O23" i="1"/>
  <c r="O209" i="1"/>
  <c r="O184" i="1"/>
  <c r="O251" i="1"/>
  <c r="O140" i="1"/>
  <c r="O41" i="1"/>
  <c r="O178" i="1"/>
  <c r="O194" i="1"/>
  <c r="O116" i="1"/>
  <c r="O210" i="1"/>
  <c r="O172" i="1"/>
  <c r="O17" i="1"/>
  <c r="O141" i="1"/>
  <c r="O27" i="1"/>
  <c r="O117" i="1"/>
  <c r="O42" i="1"/>
  <c r="O106" i="1"/>
  <c r="O107" i="1"/>
  <c r="O123" i="1"/>
  <c r="O148" i="1"/>
  <c r="O151" i="1"/>
  <c r="O200" i="1"/>
  <c r="O113" i="1"/>
  <c r="O173" i="1"/>
  <c r="O18" i="1"/>
  <c r="O179" i="1"/>
  <c r="O211" i="1"/>
  <c r="O60" i="1"/>
  <c r="O174" i="1"/>
  <c r="O7" i="1"/>
  <c r="O124" i="1"/>
  <c r="O189" i="1"/>
  <c r="O236" i="1"/>
  <c r="O175" i="1"/>
  <c r="O28" i="1"/>
  <c r="O29" i="1"/>
  <c r="O87" i="1"/>
  <c r="O125" i="1"/>
  <c r="O156" i="1"/>
  <c r="O149" i="1"/>
  <c r="O142" i="1"/>
  <c r="O212" i="1"/>
  <c r="O52" i="1"/>
  <c r="O30" i="1"/>
  <c r="O195" i="1"/>
  <c r="O244" i="1"/>
  <c r="O36" i="1"/>
  <c r="O213" i="1"/>
  <c r="O185" i="1"/>
  <c r="O93" i="1"/>
  <c r="R94" i="1"/>
  <c r="R214" i="1"/>
  <c r="R215" i="1"/>
  <c r="R97" i="1"/>
  <c r="R230" i="1"/>
  <c r="R98" i="1"/>
  <c r="R216" i="1"/>
  <c r="R24" i="1"/>
  <c r="R217" i="1"/>
  <c r="R224" i="1"/>
  <c r="R99" i="1"/>
  <c r="R130" i="1"/>
  <c r="R218" i="1"/>
  <c r="R31" i="1"/>
  <c r="R72" i="1"/>
  <c r="R118" i="1"/>
  <c r="R43" i="1"/>
  <c r="R8" i="1"/>
  <c r="R95" i="1"/>
  <c r="R12" i="1"/>
  <c r="R19" i="1"/>
  <c r="R63" i="1"/>
  <c r="R61" i="1"/>
  <c r="R53" i="1"/>
  <c r="R38" i="1"/>
  <c r="R190" i="1"/>
  <c r="R143" i="1"/>
  <c r="R231" i="1"/>
  <c r="R196" i="1"/>
  <c r="R69" i="1"/>
  <c r="R160" i="1"/>
  <c r="R131" i="1"/>
  <c r="R73" i="1"/>
  <c r="R78" i="1"/>
  <c r="R191" i="1"/>
  <c r="R114" i="1"/>
  <c r="R13" i="1"/>
  <c r="R180" i="1"/>
  <c r="R245" i="1"/>
  <c r="R232" i="1"/>
  <c r="R237" i="1"/>
  <c r="R144" i="1"/>
  <c r="R54" i="1"/>
  <c r="R238" i="1"/>
  <c r="R161" i="1"/>
  <c r="R197" i="1"/>
  <c r="R145" i="1"/>
  <c r="R202" i="1"/>
  <c r="R2" i="1"/>
  <c r="R3" i="1"/>
  <c r="R249" i="1"/>
  <c r="R108" i="1"/>
  <c r="R153" i="1"/>
  <c r="R246" i="1"/>
  <c r="R203" i="1"/>
  <c r="R32" i="1"/>
  <c r="R9" i="1"/>
  <c r="R225" i="1"/>
  <c r="R204" i="1"/>
  <c r="R239" i="1"/>
  <c r="R240" i="1"/>
  <c r="R152" i="1"/>
  <c r="R226" i="1"/>
  <c r="R44" i="1"/>
  <c r="R146" i="1"/>
  <c r="R198" i="1"/>
  <c r="R227" i="1"/>
  <c r="R157" i="1"/>
  <c r="R150" i="1"/>
  <c r="R219" i="1"/>
  <c r="R132" i="1"/>
  <c r="R115" i="1"/>
  <c r="R74" i="1"/>
  <c r="R4" i="1"/>
  <c r="R233" i="1"/>
  <c r="R64" i="1"/>
  <c r="R126" i="1"/>
  <c r="R158" i="1"/>
  <c r="R205" i="1"/>
  <c r="R79" i="1"/>
  <c r="R45" i="1"/>
  <c r="R10" i="1"/>
  <c r="R162" i="1"/>
  <c r="R163" i="1"/>
  <c r="R241" i="1"/>
  <c r="R39" i="1"/>
  <c r="R119" i="1"/>
  <c r="R55" i="1"/>
  <c r="R96" i="1"/>
  <c r="R88" i="1"/>
  <c r="R70" i="1"/>
  <c r="R206" i="1"/>
  <c r="R5" i="1"/>
  <c r="R133" i="1"/>
  <c r="R100" i="1"/>
  <c r="R192" i="1"/>
  <c r="R127" i="1"/>
  <c r="R105" i="1"/>
  <c r="R134" i="1"/>
  <c r="R46" i="1"/>
  <c r="R186" i="1"/>
  <c r="R187" i="1"/>
  <c r="R47" i="1"/>
  <c r="R220" i="1"/>
  <c r="R221" i="1"/>
  <c r="R154" i="1"/>
  <c r="R247" i="1"/>
  <c r="R80" i="1"/>
  <c r="R207" i="1"/>
  <c r="R120" i="1"/>
  <c r="R128" i="1"/>
  <c r="R89" i="1"/>
  <c r="R147" i="1"/>
  <c r="R228" i="1"/>
  <c r="R20" i="1"/>
  <c r="R25" i="1"/>
  <c r="R135" i="1"/>
  <c r="R109" i="1"/>
  <c r="R201" i="1"/>
  <c r="R62" i="1"/>
  <c r="R234" i="1"/>
  <c r="R121" i="1"/>
  <c r="R48" i="1"/>
  <c r="R136" i="1"/>
  <c r="R81" i="1"/>
  <c r="R26" i="1"/>
  <c r="R14" i="1"/>
  <c r="R21" i="1"/>
  <c r="R75" i="1"/>
  <c r="R164" i="1"/>
  <c r="R181" i="1"/>
  <c r="R165" i="1"/>
  <c r="R49" i="1"/>
  <c r="R15" i="1"/>
  <c r="R182" i="1"/>
  <c r="R56" i="1"/>
  <c r="R82" i="1"/>
  <c r="R183" i="1"/>
  <c r="R166" i="1"/>
  <c r="R188" i="1"/>
  <c r="R137" i="1"/>
  <c r="R176" i="1"/>
  <c r="R65" i="1"/>
  <c r="R101" i="1"/>
  <c r="R222" i="1"/>
  <c r="R102" i="1"/>
  <c r="R50" i="1"/>
  <c r="R90" i="1"/>
  <c r="R250" i="1"/>
  <c r="R33" i="1"/>
  <c r="R57" i="1"/>
  <c r="R167" i="1"/>
  <c r="R83" i="1"/>
  <c r="R58" i="1"/>
  <c r="R168" i="1"/>
  <c r="R16" i="1"/>
  <c r="R66" i="1"/>
  <c r="R22" i="1"/>
  <c r="R129" i="1"/>
  <c r="R223" i="1"/>
  <c r="R155" i="1"/>
  <c r="R193" i="1"/>
  <c r="R37" i="1"/>
  <c r="R229" i="1"/>
  <c r="R110" i="1"/>
  <c r="R235" i="1"/>
  <c r="R242" i="1"/>
  <c r="R6" i="1"/>
  <c r="R169" i="1"/>
  <c r="R170" i="1"/>
  <c r="R138" i="1"/>
  <c r="R111" i="1"/>
  <c r="R112" i="1"/>
  <c r="R91" i="1"/>
  <c r="R243" i="1"/>
  <c r="R103" i="1"/>
  <c r="R76" i="1"/>
  <c r="R208" i="1"/>
  <c r="R77" i="1"/>
  <c r="R104" i="1"/>
  <c r="R84" i="1"/>
  <c r="R34" i="1"/>
  <c r="R71" i="1"/>
  <c r="R59" i="1"/>
  <c r="R122" i="1"/>
  <c r="R35" i="1"/>
  <c r="R248" i="1"/>
  <c r="R159" i="1"/>
  <c r="R67" i="1"/>
  <c r="R171" i="1"/>
  <c r="R85" i="1"/>
  <c r="R92" i="1"/>
  <c r="R40" i="1"/>
  <c r="R139" i="1"/>
  <c r="R177" i="1"/>
  <c r="R199" i="1"/>
  <c r="R68" i="1"/>
  <c r="R11" i="1"/>
  <c r="R86" i="1"/>
  <c r="R51" i="1"/>
  <c r="R23" i="1"/>
  <c r="R209" i="1"/>
  <c r="R184" i="1"/>
  <c r="R251" i="1"/>
  <c r="R140" i="1"/>
  <c r="R41" i="1"/>
  <c r="R178" i="1"/>
  <c r="R194" i="1"/>
  <c r="R116" i="1"/>
  <c r="R210" i="1"/>
  <c r="R172" i="1"/>
  <c r="R17" i="1"/>
  <c r="R141" i="1"/>
  <c r="R27" i="1"/>
  <c r="R117" i="1"/>
  <c r="R42" i="1"/>
  <c r="R106" i="1"/>
  <c r="R107" i="1"/>
  <c r="R123" i="1"/>
  <c r="R148" i="1"/>
  <c r="R151" i="1"/>
  <c r="R200" i="1"/>
  <c r="R113" i="1"/>
  <c r="R173" i="1"/>
  <c r="R18" i="1"/>
  <c r="R179" i="1"/>
  <c r="R211" i="1"/>
  <c r="R60" i="1"/>
  <c r="R174" i="1"/>
  <c r="R7" i="1"/>
  <c r="R124" i="1"/>
  <c r="R189" i="1"/>
  <c r="R236" i="1"/>
  <c r="R175" i="1"/>
  <c r="R28" i="1"/>
  <c r="R29" i="1"/>
  <c r="R87" i="1"/>
  <c r="R125" i="1"/>
  <c r="R156" i="1"/>
  <c r="R149" i="1"/>
  <c r="R142" i="1"/>
  <c r="R212" i="1"/>
  <c r="R52" i="1"/>
  <c r="R30" i="1"/>
  <c r="R195" i="1"/>
  <c r="R244" i="1"/>
  <c r="R36" i="1"/>
  <c r="R213" i="1"/>
  <c r="R185" i="1"/>
  <c r="R93" i="1"/>
  <c r="Q94" i="1"/>
  <c r="Q214" i="1"/>
  <c r="Q215" i="1"/>
  <c r="Q97" i="1"/>
  <c r="Q230" i="1"/>
  <c r="Q98" i="1"/>
  <c r="Q216" i="1"/>
  <c r="Q24" i="1"/>
  <c r="Q217" i="1"/>
  <c r="Q224" i="1"/>
  <c r="Q99" i="1"/>
  <c r="Q130" i="1"/>
  <c r="Q218" i="1"/>
  <c r="Q31" i="1"/>
  <c r="Q72" i="1"/>
  <c r="Q118" i="1"/>
  <c r="Q43" i="1"/>
  <c r="Q8" i="1"/>
  <c r="Q95" i="1"/>
  <c r="Q12" i="1"/>
  <c r="Q19" i="1"/>
  <c r="Q63" i="1"/>
  <c r="Q61" i="1"/>
  <c r="Q53" i="1"/>
  <c r="Q38" i="1"/>
  <c r="Q190" i="1"/>
  <c r="Q143" i="1"/>
  <c r="Q231" i="1"/>
  <c r="Q196" i="1"/>
  <c r="Q69" i="1"/>
  <c r="Q160" i="1"/>
  <c r="Q131" i="1"/>
  <c r="Q73" i="1"/>
  <c r="Q78" i="1"/>
  <c r="Q191" i="1"/>
  <c r="Q114" i="1"/>
  <c r="Q13" i="1"/>
  <c r="Q180" i="1"/>
  <c r="Q245" i="1"/>
  <c r="Q232" i="1"/>
  <c r="Q237" i="1"/>
  <c r="Q144" i="1"/>
  <c r="Q54" i="1"/>
  <c r="Q238" i="1"/>
  <c r="Q161" i="1"/>
  <c r="Q197" i="1"/>
  <c r="Q145" i="1"/>
  <c r="Q202" i="1"/>
  <c r="Q2" i="1"/>
  <c r="Q3" i="1"/>
  <c r="Q249" i="1"/>
  <c r="Q108" i="1"/>
  <c r="Q153" i="1"/>
  <c r="Q246" i="1"/>
  <c r="Q203" i="1"/>
  <c r="Q32" i="1"/>
  <c r="Q9" i="1"/>
  <c r="Q225" i="1"/>
  <c r="Q204" i="1"/>
  <c r="Q239" i="1"/>
  <c r="Q240" i="1"/>
  <c r="Q152" i="1"/>
  <c r="Q226" i="1"/>
  <c r="Q44" i="1"/>
  <c r="Q146" i="1"/>
  <c r="Q198" i="1"/>
  <c r="Q227" i="1"/>
  <c r="Q157" i="1"/>
  <c r="Q150" i="1"/>
  <c r="Q219" i="1"/>
  <c r="Q132" i="1"/>
  <c r="Q115" i="1"/>
  <c r="Q74" i="1"/>
  <c r="Q4" i="1"/>
  <c r="Q233" i="1"/>
  <c r="Q64" i="1"/>
  <c r="Q126" i="1"/>
  <c r="Q158" i="1"/>
  <c r="Q205" i="1"/>
  <c r="Q79" i="1"/>
  <c r="Q45" i="1"/>
  <c r="Q10" i="1"/>
  <c r="Q162" i="1"/>
  <c r="Q163" i="1"/>
  <c r="Q241" i="1"/>
  <c r="Q39" i="1"/>
  <c r="Q119" i="1"/>
  <c r="Q55" i="1"/>
  <c r="Q96" i="1"/>
  <c r="Q88" i="1"/>
  <c r="Q70" i="1"/>
  <c r="Q206" i="1"/>
  <c r="Q5" i="1"/>
  <c r="Q133" i="1"/>
  <c r="Q100" i="1"/>
  <c r="Q192" i="1"/>
  <c r="Q127" i="1"/>
  <c r="Q105" i="1"/>
  <c r="Q134" i="1"/>
  <c r="Q46" i="1"/>
  <c r="Q186" i="1"/>
  <c r="Q187" i="1"/>
  <c r="Q47" i="1"/>
  <c r="Q220" i="1"/>
  <c r="Q221" i="1"/>
  <c r="Q154" i="1"/>
  <c r="Q247" i="1"/>
  <c r="Q80" i="1"/>
  <c r="Q207" i="1"/>
  <c r="Q120" i="1"/>
  <c r="Q128" i="1"/>
  <c r="Q89" i="1"/>
  <c r="Q147" i="1"/>
  <c r="Q228" i="1"/>
  <c r="Q20" i="1"/>
  <c r="Q25" i="1"/>
  <c r="Q135" i="1"/>
  <c r="Q109" i="1"/>
  <c r="Q201" i="1"/>
  <c r="Q62" i="1"/>
  <c r="Q234" i="1"/>
  <c r="Q121" i="1"/>
  <c r="Q48" i="1"/>
  <c r="Q136" i="1"/>
  <c r="Q81" i="1"/>
  <c r="Q26" i="1"/>
  <c r="Q14" i="1"/>
  <c r="Q21" i="1"/>
  <c r="Q75" i="1"/>
  <c r="Q164" i="1"/>
  <c r="Q181" i="1"/>
  <c r="Q165" i="1"/>
  <c r="Q49" i="1"/>
  <c r="Q15" i="1"/>
  <c r="Q182" i="1"/>
  <c r="Q56" i="1"/>
  <c r="Q82" i="1"/>
  <c r="Q183" i="1"/>
  <c r="Q166" i="1"/>
  <c r="Q188" i="1"/>
  <c r="Q137" i="1"/>
  <c r="Q176" i="1"/>
  <c r="Q65" i="1"/>
  <c r="Q101" i="1"/>
  <c r="Q222" i="1"/>
  <c r="Q102" i="1"/>
  <c r="Q50" i="1"/>
  <c r="Q90" i="1"/>
  <c r="Q250" i="1"/>
  <c r="Q33" i="1"/>
  <c r="Q57" i="1"/>
  <c r="Q167" i="1"/>
  <c r="Q83" i="1"/>
  <c r="Q58" i="1"/>
  <c r="Q168" i="1"/>
  <c r="Q16" i="1"/>
  <c r="Q66" i="1"/>
  <c r="Q22" i="1"/>
  <c r="Q129" i="1"/>
  <c r="Q223" i="1"/>
  <c r="Q155" i="1"/>
  <c r="Q193" i="1"/>
  <c r="Q37" i="1"/>
  <c r="Q229" i="1"/>
  <c r="Q110" i="1"/>
  <c r="Q235" i="1"/>
  <c r="Q242" i="1"/>
  <c r="Q6" i="1"/>
  <c r="Q169" i="1"/>
  <c r="Q170" i="1"/>
  <c r="Q138" i="1"/>
  <c r="Q111" i="1"/>
  <c r="Q112" i="1"/>
  <c r="Q91" i="1"/>
  <c r="Q243" i="1"/>
  <c r="Q103" i="1"/>
  <c r="Q76" i="1"/>
  <c r="Q208" i="1"/>
  <c r="Q77" i="1"/>
  <c r="Q104" i="1"/>
  <c r="Q84" i="1"/>
  <c r="Q34" i="1"/>
  <c r="Q71" i="1"/>
  <c r="Q59" i="1"/>
  <c r="Q122" i="1"/>
  <c r="Q35" i="1"/>
  <c r="Q248" i="1"/>
  <c r="Q159" i="1"/>
  <c r="Q67" i="1"/>
  <c r="Q171" i="1"/>
  <c r="Q85" i="1"/>
  <c r="Q92" i="1"/>
  <c r="Q40" i="1"/>
  <c r="Q139" i="1"/>
  <c r="Q177" i="1"/>
  <c r="Q199" i="1"/>
  <c r="Q68" i="1"/>
  <c r="Q11" i="1"/>
  <c r="Q86" i="1"/>
  <c r="Q51" i="1"/>
  <c r="Q23" i="1"/>
  <c r="Q209" i="1"/>
  <c r="Q184" i="1"/>
  <c r="Q251" i="1"/>
  <c r="Q140" i="1"/>
  <c r="Q41" i="1"/>
  <c r="Q178" i="1"/>
  <c r="Q194" i="1"/>
  <c r="Q116" i="1"/>
  <c r="Q210" i="1"/>
  <c r="Q172" i="1"/>
  <c r="Q17" i="1"/>
  <c r="Q141" i="1"/>
  <c r="Q27" i="1"/>
  <c r="Q117" i="1"/>
  <c r="Q42" i="1"/>
  <c r="Q106" i="1"/>
  <c r="Q107" i="1"/>
  <c r="Q123" i="1"/>
  <c r="Q148" i="1"/>
  <c r="Q151" i="1"/>
  <c r="Q200" i="1"/>
  <c r="Q113" i="1"/>
  <c r="Q173" i="1"/>
  <c r="Q18" i="1"/>
  <c r="Q179" i="1"/>
  <c r="Q211" i="1"/>
  <c r="Q60" i="1"/>
  <c r="Q174" i="1"/>
  <c r="Q7" i="1"/>
  <c r="Q124" i="1"/>
  <c r="Q189" i="1"/>
  <c r="Q236" i="1"/>
  <c r="Q175" i="1"/>
  <c r="Q28" i="1"/>
  <c r="Q29" i="1"/>
  <c r="Q87" i="1"/>
  <c r="Q125" i="1"/>
  <c r="Q156" i="1"/>
  <c r="Q149" i="1"/>
  <c r="Q142" i="1"/>
  <c r="Q212" i="1"/>
  <c r="Q52" i="1"/>
  <c r="Q30" i="1"/>
  <c r="Q195" i="1"/>
  <c r="Q244" i="1"/>
  <c r="Q36" i="1"/>
  <c r="Q213" i="1"/>
  <c r="Q185" i="1"/>
  <c r="Q93" i="1"/>
  <c r="J4" i="4" l="1"/>
  <c r="N4" i="4"/>
  <c r="J13" i="4" s="1"/>
  <c r="J1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<sst xmlns="http://schemas.openxmlformats.org/spreadsheetml/2006/main" count="2390" uniqueCount="460">
  <si>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</si>
  <si>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</si>
  <si>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</si>
  <si>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</si>
  <si>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</si>
  <si>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</si>
  <si>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</si>
  <si>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</si>
  <si>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</si>
  <si>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</si>
  <si>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</si>
  <si>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</si>
  <si>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</si>
  <si>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</si>
  <si>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</si>
  <si>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</si>
  <si>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</si>
  <si>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</si>
  <si>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</si>
  <si>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</si>
  <si>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</si>
  <si>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</si>
  <si>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</si>
  <si>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</si>
  <si>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</si>
  <si>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</si>
  <si>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</si>
  <si>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</si>
  <si>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</si>
  <si>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</si>
  <si>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</si>
  <si>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</si>
  <si>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</si>
  <si>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</si>
  <si>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</si>
  <si>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</si>
  <si>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</si>
  <si>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</si>
  <si>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</si>
  <si>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</si>
  <si>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</si>
  <si>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</si>
  <si>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</si>
  <si>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</si>
  <si>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</si>
  <si>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</si>
  <si>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</si>
  <si>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</si>
  <si>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</si>
  <si>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</si>
  <si>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</si>
  <si>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</si>
  <si>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</si>
  <si>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</si>
  <si>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</si>
  <si>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</si>
  <si>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</si>
  <si>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</si>
  <si>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</si>
  <si>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</si>
  <si>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</si>
  <si>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</si>
  <si>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</si>
  <si>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</si>
  <si>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</si>
  <si>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</si>
  <si>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</si>
  <si>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</si>
  <si>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</si>
  <si>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</si>
  <si>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</si>
  <si>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</si>
  <si>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</si>
  <si>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</si>
  <si>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</si>
  <si>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</si>
  <si>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</si>
  <si>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</si>
  <si>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</si>
  <si>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</si>
  <si>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</si>
  <si>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</si>
  <si>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</si>
  <si>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</si>
  <si>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</si>
  <si>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</si>
  <si>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</si>
  <si>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</si>
  <si>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</si>
  <si>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</si>
  <si>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</si>
  <si>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</si>
  <si>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</si>
  <si>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</si>
  <si>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</si>
  <si>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</si>
  <si>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</si>
  <si>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</si>
  <si>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</si>
  <si>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</si>
  <si>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</si>
  <si>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</si>
  <si>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</si>
  <si>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</si>
  <si>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</si>
  <si>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</si>
  <si>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</si>
  <si>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</si>
  <si>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</si>
  <si>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</si>
  <si>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</si>
  <si>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</si>
  <si>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</si>
  <si>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</si>
  <si>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</si>
  <si>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</si>
  <si>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</si>
  <si>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</si>
  <si>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</si>
  <si>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</si>
  <si>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</si>
  <si>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</si>
  <si>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</si>
  <si>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</si>
  <si>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</si>
  <si>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</si>
  <si>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</si>
  <si>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</si>
  <si>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</si>
  <si>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</si>
  <si>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</si>
  <si>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</si>
  <si>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</si>
  <si>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</si>
  <si>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</si>
  <si>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</si>
  <si>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</si>
  <si>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</si>
  <si>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</si>
  <si>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</si>
  <si>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</si>
  <si>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</si>
  <si>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</si>
  <si>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</si>
  <si>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</si>
  <si>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</si>
  <si>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</si>
  <si>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</si>
  <si>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</si>
  <si>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</si>
  <si>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</si>
  <si>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</si>
  <si>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</si>
  <si>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</si>
  <si>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</si>
  <si>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</si>
  <si>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</si>
  <si>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</si>
  <si>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</si>
  <si>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</si>
  <si>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</si>
  <si>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</si>
  <si>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</si>
  <si>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</si>
  <si>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</si>
  <si>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</si>
  <si>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</si>
  <si>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</si>
  <si>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</si>
  <si>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</si>
  <si>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</si>
  <si>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</si>
  <si>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</si>
  <si>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</si>
  <si>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</si>
  <si>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</si>
  <si>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</si>
  <si>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</si>
  <si>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</si>
  <si>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</si>
  <si>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</si>
  <si>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</si>
  <si>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</si>
  <si>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</si>
  <si>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</si>
  <si>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</si>
  <si>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</si>
  <si>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</si>
  <si>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</si>
  <si>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</si>
  <si>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</si>
  <si>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</si>
  <si>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</si>
  <si>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</si>
  <si>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</si>
  <si>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</si>
  <si>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</si>
  <si>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</si>
  <si>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</si>
  <si>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</si>
  <si>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</si>
  <si>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</si>
  <si>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</si>
  <si>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</si>
  <si>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</si>
  <si>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</si>
  <si>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</si>
  <si>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</si>
  <si>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</si>
  <si>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</si>
  <si>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</si>
  <si>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</si>
  <si>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</si>
  <si>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</si>
  <si>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</si>
  <si>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</si>
  <si>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</si>
  <si>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</si>
  <si>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</si>
  <si>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</si>
  <si>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</si>
  <si>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</si>
  <si>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</si>
  <si>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</si>
  <si>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</si>
  <si>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</si>
  <si>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</si>
  <si>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</si>
  <si>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</si>
  <si>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</si>
  <si>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</si>
  <si>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</si>
  <si>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</si>
  <si>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</si>
  <si>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</si>
  <si>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</si>
  <si>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</si>
  <si>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</si>
  <si>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</si>
  <si>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</si>
  <si>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</si>
  <si>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</si>
  <si>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</si>
  <si>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</si>
  <si>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</si>
  <si>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</si>
  <si>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</si>
  <si>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</si>
  <si>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</si>
  <si>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</si>
  <si>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</si>
  <si>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</si>
  <si>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</si>
  <si>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</si>
  <si>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</si>
  <si>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</si>
  <si>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</si>
  <si>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</si>
  <si>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</si>
  <si>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</si>
  <si>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</si>
  <si>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</si>
  <si>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</si>
  <si>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</si>
  <si>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</si>
  <si>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</si>
  <si>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</si>
  <si>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</si>
  <si>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</si>
  <si>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</si>
  <si>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</si>
  <si>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</si>
  <si>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</si>
  <si>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</si>
  <si>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</si>
  <si>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</si>
  <si>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</si>
  <si>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</si>
  <si>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</si>
  <si>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</si>
  <si>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</si>
  <si>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</si>
  <si>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</si>
  <si>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</si>
  <si>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</si>
  <si>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</si>
  <si>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</si>
  <si>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</si>
  <si>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</si>
  <si>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</si>
  <si>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</si>
  <si>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</si>
  <si>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</si>
  <si>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</si>
  <si>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</si>
  <si>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</si>
  <si>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</si>
  <si>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</si>
  <si>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</si>
  <si>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</si>
  <si>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</si>
  <si>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</si>
  <si>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</si>
  <si>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</si>
  <si>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</si>
  <si>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</si>
  <si>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</si>
  <si>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</si>
  <si>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</si>
  <si>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</si>
  <si>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</si>
  <si>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</si>
  <si>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</si>
  <si>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</si>
  <si>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</si>
  <si>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</si>
  <si>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</si>
  <si>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</si>
  <si>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</si>
  <si>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</si>
  <si>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</si>
  <si>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</si>
  <si>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</si>
  <si>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</si>
  <si>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</si>
  <si>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</si>
  <si>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</si>
  <si>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</si>
  <si>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</si>
  <si>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</si>
  <si>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</si>
  <si>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</si>
  <si>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</si>
  <si>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</si>
  <si>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</si>
  <si>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</si>
  <si>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</si>
  <si>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</si>
  <si>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</si>
  <si>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</si>
  <si>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</si>
  <si>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</si>
  <si>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</si>
  <si>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</si>
  <si>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</si>
  <si>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</si>
  <si>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</si>
  <si>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</si>
  <si>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</si>
  <si>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</si>
  <si>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</si>
  <si>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</si>
  <si>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</si>
  <si>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</si>
  <si>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</si>
  <si>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</si>
  <si>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</si>
  <si>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</si>
  <si>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</si>
  <si>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</si>
  <si>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</si>
  <si>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</si>
  <si>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</si>
  <si>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</si>
  <si>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</si>
  <si>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</si>
  <si>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</si>
  <si>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</si>
  <si>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</si>
  <si>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</si>
  <si>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</si>
  <si>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</si>
  <si>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</si>
  <si>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</si>
  <si>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</si>
  <si>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</si>
  <si>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</si>
  <si>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</si>
  <si>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</si>
  <si>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</si>
  <si>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</si>
  <si>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</si>
  <si>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</si>
  <si>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</si>
  <si>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</si>
  <si>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</si>
  <si>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</si>
  <si>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</si>
  <si>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</si>
  <si>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</si>
  <si>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</si>
  <si>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</si>
  <si>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</si>
  <si>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</si>
  <si>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</si>
  <si>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</si>
  <si>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</si>
  <si>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</si>
  <si>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</si>
  <si>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Date Difference</t>
  </si>
  <si>
    <t>End of Month</t>
  </si>
  <si>
    <t>Current Date</t>
  </si>
  <si>
    <t>Current Timestamp</t>
  </si>
  <si>
    <t xml:space="preserve">FILTER  </t>
  </si>
  <si>
    <t>Parameter</t>
  </si>
  <si>
    <t>Value</t>
  </si>
  <si>
    <t>Selling Price/unit</t>
  </si>
  <si>
    <t>Cost Price/unit</t>
  </si>
  <si>
    <t>Fixed Costs</t>
  </si>
  <si>
    <t>Units Sold</t>
  </si>
  <si>
    <t>Profit</t>
  </si>
  <si>
    <t>Size (sq ft)</t>
  </si>
  <si>
    <t>Age (Years)</t>
  </si>
  <si>
    <t>Calculation for Slope &amp; Intercept</t>
  </si>
  <si>
    <t>Mean (of X)</t>
  </si>
  <si>
    <t>Mean (of Y)</t>
  </si>
  <si>
    <t>Deviations (of X)</t>
  </si>
  <si>
    <t>Deviations (of Y)</t>
  </si>
  <si>
    <t>Product of Deviations</t>
  </si>
  <si>
    <t>Sum of Product of Deviations</t>
  </si>
  <si>
    <t>Square of Deviations (of X)</t>
  </si>
  <si>
    <t>Sum of Square of Deviations (of X)</t>
  </si>
  <si>
    <r>
      <rPr>
        <b/>
        <sz val="11"/>
        <color theme="1"/>
        <rFont val="Aptos Narrow"/>
        <family val="2"/>
        <scheme val="minor"/>
      </rPr>
      <t>Slope (m)</t>
    </r>
    <r>
      <rPr>
        <sz val="11"/>
        <color theme="1"/>
        <rFont val="Aptos Narrow"/>
        <family val="2"/>
        <scheme val="minor"/>
      </rPr>
      <t xml:space="preserve"> = Sum of Product of Deviations / Sum of Square of deviation for X</t>
    </r>
  </si>
  <si>
    <r>
      <rPr>
        <b/>
        <sz val="11"/>
        <color theme="1"/>
        <rFont val="Aptos Narrow"/>
        <family val="2"/>
        <scheme val="minor"/>
      </rPr>
      <t>Intercept (c)</t>
    </r>
    <r>
      <rPr>
        <sz val="11"/>
        <color theme="1"/>
        <rFont val="Aptos Narrow"/>
        <family val="2"/>
        <scheme val="minor"/>
      </rPr>
      <t xml:space="preserve"> = Mean of Y - (m * Mean of X)</t>
    </r>
  </si>
  <si>
    <t>M</t>
  </si>
  <si>
    <t>C</t>
  </si>
  <si>
    <t>Slope (m) =</t>
  </si>
  <si>
    <t>Intercept (c) =</t>
  </si>
  <si>
    <t>Bedrooms(X)</t>
  </si>
  <si>
    <t>Price (₹ Lakhs) (Y)</t>
  </si>
  <si>
    <t>- Use GroupBy concepts to find High-Value Customers using formulas</t>
  </si>
  <si>
    <t>Row Labels</t>
  </si>
  <si>
    <t>Grand Total</t>
  </si>
  <si>
    <t>Column Labels</t>
  </si>
  <si>
    <t>Sum of Total_Amount</t>
  </si>
  <si>
    <t>- Find most frequently purchased product or repeating names using formulas</t>
  </si>
  <si>
    <t xml:space="preserve"> Compare two lists and extract matching names in a new column</t>
  </si>
  <si>
    <t>Names_List_1</t>
  </si>
  <si>
    <t>Aarav</t>
  </si>
  <si>
    <t>Vivaan</t>
  </si>
  <si>
    <t>Aditya</t>
  </si>
  <si>
    <t>Vihaan</t>
  </si>
  <si>
    <t>Arjun</t>
  </si>
  <si>
    <t>Sai</t>
  </si>
  <si>
    <t>Reyansh</t>
  </si>
  <si>
    <t>Krishna</t>
  </si>
  <si>
    <t>Ishan</t>
  </si>
  <si>
    <t>Kabir</t>
  </si>
  <si>
    <t>Rohan</t>
  </si>
  <si>
    <t>Dev</t>
  </si>
  <si>
    <t>Names_List_2</t>
  </si>
  <si>
    <t>Aryan</t>
  </si>
  <si>
    <t>Kunal</t>
  </si>
  <si>
    <t>Dhruv</t>
  </si>
  <si>
    <t>Om</t>
  </si>
  <si>
    <t>Matching List</t>
  </si>
  <si>
    <t>Brijesh</t>
  </si>
  <si>
    <t>Rajesh</t>
  </si>
  <si>
    <t>- Create Abbreviations using TEXT functions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</si>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</sst>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0" fillId="0" borderId="0" xfId="0" applyNumberFormat="1"/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22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0" xfId="0" applyFont="1"/>
    <xf numFmtId="2" fontId="2" fillId="0" borderId="1" xfId="0" applyNumberFormat="1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6" borderId="0" xfId="0" applyFill="1"/>
    <xf numFmtId="0" fontId="5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[FINAL.xlsx]Pivot Table!PivotTable3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</c:pivotFmt>
      <c:pivotFmt>
        <c:idx val="12"/>
      </c:pivotFmt>
      <c:pivotFmt>
        <c:idx val="13"/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</c:pivotFmt>
      <c:pivotFmt>
        <c:idx val="21"/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</c:pivotFmt>
      <c:pivotFmt>
        <c:idx val="24"/>
      </c:pivotFmt>
      <c:pivotFmt>
        <c:idx val="25"/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</c:pivotFmt>
      <c:pivotFmt>
        <c:idx val="28"/>
      </c:pivotFmt>
      <c:pivotFmt>
        <c:idx val="29"/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</c:pivotFmt>
      <c:pivotFmt>
        <c:idx val="32"/>
      </c:pivotFmt>
      <c:pivotFmt>
        <c:idx val="33"/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</c:pivotFmt>
      <c:pivotFmt>
        <c:idx val="36"/>
      </c:pivotFmt>
      <c:pivotFmt>
        <c:idx val="37"/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</c:pivotFmt>
      <c:pivotFmt>
        <c:idx val="40"/>
      </c:pivotFmt>
      <c:pivotFmt>
        <c:idx val="41"/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</c:pivotFmt>
      <c:pivotFmt>
        <c:idx val="44"/>
      </c:pivotFmt>
      <c:pivotFmt>
        <c:idx val="45"/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</c:pivotFmt>
      <c:pivotFmt>
        <c:idx val="48"/>
      </c:pivotFmt>
      <c:pivotFmt>
        <c:idx val="49"/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Blender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50-4469-AE6D-3C04579C4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50-4469-AE6D-3C04579C4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150-4469-AE6D-3C04579C49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Table'!$A$25:$A$28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Table'!$B$25:$B$28</c:f>
              <c:numCache>
                <c:formatCode>General</c:formatCode>
                <c:ptCount val="3"/>
                <c:pt idx="0">
                  <c:v>1139.81</c:v>
                </c:pt>
                <c:pt idx="1">
                  <c:v>1379.77</c:v>
                </c:pt>
                <c:pt idx="2">
                  <c:v>2699.5499999999997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50-4469-AE6D-3C04579C4928}"/>
            </c:ext>
          </c:extLst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Bookshelf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A150-4469-AE6D-3C04579C4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A150-4469-AE6D-3C04579C4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150-4469-AE6D-3C04579C49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Table'!$A$25:$A$28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Table'!$C$25:$C$28</c:f>
              <c:numCache>
                <c:formatCode>General</c:formatCode>
                <c:ptCount val="3"/>
                <c:pt idx="0">
                  <c:v>4949.67</c:v>
                </c:pt>
                <c:pt idx="1">
                  <c:v>5999.5999999999985</c:v>
                </c:pt>
                <c:pt idx="2">
                  <c:v>4349.71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150-4469-AE6D-3C04579C4928}"/>
            </c:ext>
          </c:extLst>
        </c:ser>
        <c:ser>
          <c:idx val="2"/>
          <c:order val="2"/>
          <c:tx>
            <c:strRef>
              <c:f>'Pivot Table'!$D$23:$D$24</c:f>
              <c:strCache>
                <c:ptCount val="1"/>
                <c:pt idx="0">
                  <c:v>Coffee Maker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150-4469-AE6D-3C04579C4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150-4469-AE6D-3C04579C4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150-4469-AE6D-3C04579C49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Table'!$A$25:$A$28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Table'!$D$25:$D$28</c:f>
              <c:numCache>
                <c:formatCode>General</c:formatCode>
                <c:ptCount val="3"/>
                <c:pt idx="0">
                  <c:v>1679.79</c:v>
                </c:pt>
                <c:pt idx="1">
                  <c:v>799.89999999999986</c:v>
                </c:pt>
                <c:pt idx="2">
                  <c:v>639.91999999999996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150-4469-AE6D-3C04579C4928}"/>
            </c:ext>
          </c:extLst>
        </c:ser>
        <c:ser>
          <c:idx val="3"/>
          <c:order val="3"/>
          <c:tx>
            <c:strRef>
              <c:f>'Pivot Table'!$E$23:$E$24</c:f>
              <c:strCache>
                <c:ptCount val="1"/>
                <c:pt idx="0">
                  <c:v>Desk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A150-4469-AE6D-3C04579C4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A150-4469-AE6D-3C04579C4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A150-4469-AE6D-3C04579C49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Table'!$A$25:$A$28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Table'!$E$25:$E$28</c:f>
              <c:numCache>
                <c:formatCode>General</c:formatCode>
                <c:ptCount val="3"/>
                <c:pt idx="0">
                  <c:v>11699.609999999999</c:v>
                </c:pt>
                <c:pt idx="1">
                  <c:v>5999.8000000000011</c:v>
                </c:pt>
                <c:pt idx="2">
                  <c:v>5699.8100000000013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150-4469-AE6D-3C04579C4928}"/>
            </c:ext>
          </c:extLst>
        </c:ser>
        <c:ser>
          <c:idx val="4"/>
          <c:order val="4"/>
          <c:tx>
            <c:strRef>
              <c:f>'Pivot Table'!$F$23:$F$24</c:f>
              <c:strCache>
                <c:ptCount val="1"/>
                <c:pt idx="0">
                  <c:v>Headphones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150-4469-AE6D-3C04579C4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150-4469-AE6D-3C04579C4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150-4469-AE6D-3C04579C49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Table'!$A$25:$A$28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Table'!$F$25:$F$28</c:f>
              <c:numCache>
                <c:formatCode>General</c:formatCode>
                <c:ptCount val="3"/>
                <c:pt idx="0">
                  <c:v>2099.86</c:v>
                </c:pt>
                <c:pt idx="1">
                  <c:v>2999.8</c:v>
                </c:pt>
                <c:pt idx="2">
                  <c:v>1949.8700000000001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150-4469-AE6D-3C04579C4928}"/>
            </c:ext>
          </c:extLst>
        </c:ser>
        <c:ser>
          <c:idx val="5"/>
          <c:order val="5"/>
          <c:tx>
            <c:strRef>
              <c:f>'Pivot Table'!$G$23:$G$24</c:f>
              <c:strCache>
                <c:ptCount val="1"/>
                <c:pt idx="0">
                  <c:v>Keyboard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A150-4469-AE6D-3C04579C4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A150-4469-AE6D-3C04579C4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A150-4469-AE6D-3C04579C49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Table'!$A$25:$A$28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Table'!$G$25:$G$28</c:f>
              <c:numCache>
                <c:formatCode>General</c:formatCode>
                <c:ptCount val="3"/>
                <c:pt idx="0">
                  <c:v>2159.7599999999998</c:v>
                </c:pt>
                <c:pt idx="1">
                  <c:v>4679.4799999999977</c:v>
                </c:pt>
                <c:pt idx="2">
                  <c:v>1169.8699999999999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150-4469-AE6D-3C04579C4928}"/>
            </c:ext>
          </c:extLst>
        </c:ser>
        <c:ser>
          <c:idx val="6"/>
          <c:order val="6"/>
          <c:tx>
            <c:strRef>
              <c:f>'Pivot Table'!$H$23:$H$24</c:f>
              <c:strCache>
                <c:ptCount val="1"/>
                <c:pt idx="0">
                  <c:v>Laptop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A150-4469-AE6D-3C04579C4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A150-4469-AE6D-3C04579C4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A150-4469-AE6D-3C04579C49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Table'!$A$25:$A$28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Table'!$H$25:$H$28</c:f>
              <c:numCache>
                <c:formatCode>General</c:formatCode>
                <c:ptCount val="3"/>
                <c:pt idx="0">
                  <c:v>15299.830000000002</c:v>
                </c:pt>
                <c:pt idx="1">
                  <c:v>17099.810000000001</c:v>
                </c:pt>
                <c:pt idx="2">
                  <c:v>35099.61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A150-4469-AE6D-3C04579C4928}"/>
            </c:ext>
          </c:extLst>
        </c:ser>
        <c:ser>
          <c:idx val="7"/>
          <c:order val="7"/>
          <c:tx>
            <c:strRef>
              <c:f>'Pivot Table'!$I$23:$I$24</c:f>
              <c:strCache>
                <c:ptCount val="1"/>
                <c:pt idx="0">
                  <c:v>Monitor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A150-4469-AE6D-3C04579C4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A150-4469-AE6D-3C04579C4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A150-4469-AE6D-3C04579C49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Table'!$A$25:$A$28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Table'!$I$25:$I$28</c:f>
              <c:numCache>
                <c:formatCode>General</c:formatCode>
                <c:ptCount val="3"/>
                <c:pt idx="0">
                  <c:v>3749.85</c:v>
                </c:pt>
                <c:pt idx="1">
                  <c:v>9499.619999999999</c:v>
                </c:pt>
                <c:pt idx="2">
                  <c:v>8749.65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A150-4469-AE6D-3C04579C4928}"/>
            </c:ext>
          </c:extLst>
        </c:ser>
        <c:ser>
          <c:idx val="8"/>
          <c:order val="8"/>
          <c:tx>
            <c:strRef>
              <c:f>'Pivot Table'!$J$23:$J$24</c:f>
              <c:strCache>
                <c:ptCount val="1"/>
                <c:pt idx="0">
                  <c:v>Office Chair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A150-4469-AE6D-3C04579C4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A150-4469-AE6D-3C04579C4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A150-4469-AE6D-3C04579C49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Table'!$A$25:$A$28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Table'!$J$25:$J$28</c:f>
              <c:numCache>
                <c:formatCode>General</c:formatCode>
                <c:ptCount val="3"/>
                <c:pt idx="0">
                  <c:v>2599.8700000000003</c:v>
                </c:pt>
                <c:pt idx="1">
                  <c:v>3999.8000000000006</c:v>
                </c:pt>
                <c:pt idx="2">
                  <c:v>3799.8100000000004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A150-4469-AE6D-3C04579C4928}"/>
            </c:ext>
          </c:extLst>
        </c:ser>
        <c:ser>
          <c:idx val="9"/>
          <c:order val="9"/>
          <c:tx>
            <c:strRef>
              <c:f>'Pivot Table'!$K$23:$K$24</c:f>
              <c:strCache>
                <c:ptCount val="1"/>
                <c:pt idx="0">
                  <c:v>Smartphone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A150-4469-AE6D-3C04579C4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A150-4469-AE6D-3C04579C4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A150-4469-AE6D-3C04579C49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Table'!$A$25:$A$28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Table'!$K$25:$K$28</c:f>
              <c:numCache>
                <c:formatCode>General</c:formatCode>
                <c:ptCount val="3"/>
                <c:pt idx="0">
                  <c:v>16799.760000000002</c:v>
                </c:pt>
                <c:pt idx="1">
                  <c:v>32199.54</c:v>
                </c:pt>
                <c:pt idx="2">
                  <c:v>18199.739999999998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A150-4469-AE6D-3C04579C49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[FINAL.xlsx]Pivot Table!PivotTable2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Table'!$B$9:$B$10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Table'!$A$11:$A$21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'Pivot Table'!$B$11:$B$21</c:f>
              <c:numCache>
                <c:formatCode>General</c:formatCode>
                <c:ptCount val="10"/>
                <c:pt idx="0">
                  <c:v>2039.66</c:v>
                </c:pt>
                <c:pt idx="1">
                  <c:v>4799.68</c:v>
                </c:pt>
                <c:pt idx="2">
                  <c:v>1199.8499999999999</c:v>
                </c:pt>
                <c:pt idx="3">
                  <c:v>8099.73</c:v>
                </c:pt>
                <c:pt idx="4">
                  <c:v>2249.8500000000004</c:v>
                </c:pt>
                <c:pt idx="5">
                  <c:v>1439.84</c:v>
                </c:pt>
                <c:pt idx="6">
                  <c:v>8099.91</c:v>
                </c:pt>
                <c:pt idx="7">
                  <c:v>4499.82</c:v>
                </c:pt>
                <c:pt idx="8">
                  <c:v>5399.73</c:v>
                </c:pt>
                <c:pt idx="9">
                  <c:v>19599.72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8-4868-A2B4-EFBA90A67D25}"/>
            </c:ext>
          </c:extLst>
        </c:ser>
        <c:ser>
          <c:idx val="1"/>
          <c:order val="1"/>
          <c:tx>
            <c:strRef>
              <c:f>'Pivot Table'!$C$9:$C$10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Table'!$A$11:$A$21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'Pivot Table'!$C$11:$C$21</c:f>
              <c:numCache>
                <c:formatCode>General</c:formatCode>
                <c:ptCount val="10"/>
                <c:pt idx="0">
                  <c:v>779.87</c:v>
                </c:pt>
                <c:pt idx="1">
                  <c:v>3899.7400000000007</c:v>
                </c:pt>
                <c:pt idx="2">
                  <c:v>639.91999999999996</c:v>
                </c:pt>
                <c:pt idx="3">
                  <c:v>8999.7000000000007</c:v>
                </c:pt>
                <c:pt idx="4">
                  <c:v>1649.89</c:v>
                </c:pt>
                <c:pt idx="5">
                  <c:v>2429.7299999999991</c:v>
                </c:pt>
                <c:pt idx="6">
                  <c:v>16199.82</c:v>
                </c:pt>
                <c:pt idx="7">
                  <c:v>10749.569999999998</c:v>
                </c:pt>
                <c:pt idx="8">
                  <c:v>1399.93</c:v>
                </c:pt>
                <c:pt idx="9">
                  <c:v>14699.79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8-4868-A2B4-EFBA90A67D25}"/>
            </c:ext>
          </c:extLst>
        </c:ser>
        <c:ser>
          <c:idx val="2"/>
          <c:order val="2"/>
          <c:tx>
            <c:strRef>
              <c:f>'Pivot Table'!$D$9:$D$10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Table'!$A$11:$A$21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'Pivot Table'!$D$11:$D$21</c:f>
              <c:numCache>
                <c:formatCode>General</c:formatCode>
                <c:ptCount val="10"/>
                <c:pt idx="0">
                  <c:v>1739.71</c:v>
                </c:pt>
                <c:pt idx="1">
                  <c:v>2699.8200000000006</c:v>
                </c:pt>
                <c:pt idx="2">
                  <c:v>959.87999999999988</c:v>
                </c:pt>
                <c:pt idx="3">
                  <c:v>3599.88</c:v>
                </c:pt>
                <c:pt idx="4">
                  <c:v>1499.9</c:v>
                </c:pt>
                <c:pt idx="5">
                  <c:v>2069.77</c:v>
                </c:pt>
                <c:pt idx="6">
                  <c:v>20699.77</c:v>
                </c:pt>
                <c:pt idx="7">
                  <c:v>2249.91</c:v>
                </c:pt>
                <c:pt idx="8">
                  <c:v>2599.87</c:v>
                </c:pt>
                <c:pt idx="9">
                  <c:v>13999.8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B8-4868-A2B4-EFBA90A67D25}"/>
            </c:ext>
          </c:extLst>
        </c:ser>
        <c:ser>
          <c:idx val="3"/>
          <c:order val="3"/>
          <c:tx>
            <c:strRef>
              <c:f>'Pivot Table'!$E$9:$E$10</c:f>
              <c:strCache>
                <c:ptCount val="1"/>
                <c:pt idx="0">
                  <c:v>PayPal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Table'!$A$11:$A$21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'Pivot Table'!$E$11:$E$21</c:f>
              <c:numCache>
                <c:formatCode>General</c:formatCode>
                <c:ptCount val="10"/>
                <c:pt idx="0">
                  <c:v>659.89</c:v>
                </c:pt>
                <c:pt idx="1">
                  <c:v>3899.7400000000007</c:v>
                </c:pt>
                <c:pt idx="2">
                  <c:v>319.95999999999998</c:v>
                </c:pt>
                <c:pt idx="3">
                  <c:v>2699.9100000000003</c:v>
                </c:pt>
                <c:pt idx="4">
                  <c:v>1649.89</c:v>
                </c:pt>
                <c:pt idx="5">
                  <c:v>2069.77</c:v>
                </c:pt>
                <c:pt idx="6">
                  <c:v>22499.750000000007</c:v>
                </c:pt>
                <c:pt idx="7">
                  <c:v>4499.82</c:v>
                </c:pt>
                <c:pt idx="8">
                  <c:v>999.95</c:v>
                </c:pt>
                <c:pt idx="9">
                  <c:v>18899.730000000003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B8-4868-A2B4-EFBA90A67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446160"/>
        <c:axId val="1490448080"/>
      </c:barChart>
      <c:catAx>
        <c:axId val="149044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48080"/>
        <c:crosses val="autoZero"/>
        <c:auto val="1"/>
        <c:lblAlgn val="ctr"/>
        <c:lblOffset val="100"/>
        <c:noMultiLvlLbl val="0"/>
      </c:catAx>
      <c:valAx>
        <c:axId val="14904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4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[FINAL.xlsx]Pivot Table!PivotTable1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Table'!$A$3:$A$6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Table'!$B$3:$B$6</c:f>
              <c:numCache>
                <c:formatCode>General</c:formatCode>
                <c:ptCount val="3"/>
                <c:pt idx="0">
                  <c:v>1999.71</c:v>
                </c:pt>
                <c:pt idx="1">
                  <c:v>24889.330000000009</c:v>
                </c:pt>
                <c:pt idx="2">
                  <c:v>14399.299999999997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7-42A1-BA76-4782AC059FF3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Table'!$A$3:$A$6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Table'!$C$3:$C$6</c:f>
              <c:numCache>
                <c:formatCode>General</c:formatCode>
                <c:ptCount val="3"/>
                <c:pt idx="0">
                  <c:v>2239.6699999999996</c:v>
                </c:pt>
                <c:pt idx="1">
                  <c:v>50649.009999999987</c:v>
                </c:pt>
                <c:pt idx="2">
                  <c:v>6399.7099999999991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37-42A1-BA76-4782AC059FF3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Table'!$A$3:$A$6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Table'!$D$3:$D$6</c:f>
              <c:numCache>
                <c:formatCode>General</c:formatCode>
                <c:ptCount val="3"/>
                <c:pt idx="0">
                  <c:v>1119.8399999999999</c:v>
                </c:pt>
                <c:pt idx="1">
                  <c:v>39239.040000000001</c:v>
                </c:pt>
                <c:pt idx="2">
                  <c:v>10449.429999999998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37-42A1-BA76-4782AC059FF3}"/>
            </c:ext>
          </c:extLst>
        </c:ser>
        <c:ser>
          <c:idx val="3"/>
          <c:order val="3"/>
          <c:tx>
            <c:strRef>
              <c:f>'Pivot Table'!$E$1:$E$2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Table'!$A$3:$A$6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Table'!$E$3:$E$6</c:f>
              <c:numCache>
                <c:formatCode>General</c:formatCode>
                <c:ptCount val="3"/>
                <c:pt idx="0">
                  <c:v>1099.83</c:v>
                </c:pt>
                <c:pt idx="1">
                  <c:v>25549.320000000003</c:v>
                </c:pt>
                <c:pt idx="2">
                  <c:v>9749.5999999999985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37-42A1-BA76-4782AC059FF3}"/>
            </c:ext>
          </c:extLst>
        </c:ser>
        <c:ser>
          <c:idx val="4"/>
          <c:order val="4"/>
          <c:tx>
            <c:strRef>
              <c:f>'Pivot Table'!$F$1:$F$2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Table'!$A$3:$A$6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Table'!$F$3:$F$6</c:f>
              <c:numCache>
                <c:formatCode>General</c:formatCode>
                <c:ptCount val="3"/>
                <c:pt idx="0">
                  <c:v>1879.69</c:v>
                </c:pt>
                <c:pt idx="1">
                  <c:v>31429.350000000009</c:v>
                </c:pt>
                <c:pt idx="2">
                  <c:v>8099.6399999999994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37-42A1-BA76-4782AC059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404880"/>
        <c:axId val="1490412560"/>
      </c:lineChart>
      <c:catAx>
        <c:axId val="149040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12560"/>
        <c:crosses val="autoZero"/>
        <c:auto val="1"/>
        <c:lblAlgn val="ctr"/>
        <c:lblOffset val="100"/>
        <c:noMultiLvlLbl val="0"/>
      </c:catAx>
      <c:valAx>
        <c:axId val="149041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0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[FINAL.xlsx]Pivot Table!PivotTable6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Table'!$B$30:$B$31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Table'!$A$32:$A$35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Table'!$B$32:$B$35</c:f>
              <c:numCache>
                <c:formatCode>General</c:formatCode>
                <c:ptCount val="3"/>
                <c:pt idx="0">
                  <c:v>16339.399999999996</c:v>
                </c:pt>
                <c:pt idx="1">
                  <c:v>15479.349999999995</c:v>
                </c:pt>
                <c:pt idx="2">
                  <c:v>9469.5899999999983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C-41BC-A647-F6538015D724}"/>
            </c:ext>
          </c:extLst>
        </c:ser>
        <c:ser>
          <c:idx val="1"/>
          <c:order val="1"/>
          <c:tx>
            <c:strRef>
              <c:f>'Pivot Table'!$C$30:$C$31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Table'!$A$32:$A$35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Table'!$C$32:$C$35</c:f>
              <c:numCache>
                <c:formatCode>General</c:formatCode>
                <c:ptCount val="3"/>
                <c:pt idx="0">
                  <c:v>9319.68</c:v>
                </c:pt>
                <c:pt idx="1">
                  <c:v>26009.430000000004</c:v>
                </c:pt>
                <c:pt idx="2">
                  <c:v>23959.28000000001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FC-41BC-A647-F6538015D724}"/>
            </c:ext>
          </c:extLst>
        </c:ser>
        <c:ser>
          <c:idx val="2"/>
          <c:order val="2"/>
          <c:tx>
            <c:strRef>
              <c:f>'Pivot Table'!$D$30:$D$31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Table'!$A$32:$A$35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Table'!$D$32:$D$35</c:f>
              <c:numCache>
                <c:formatCode>General</c:formatCode>
                <c:ptCount val="3"/>
                <c:pt idx="0">
                  <c:v>14799.51</c:v>
                </c:pt>
                <c:pt idx="1">
                  <c:v>26569.110000000019</c:v>
                </c:pt>
                <c:pt idx="2">
                  <c:v>9439.6899999999987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FC-41BC-A647-F6538015D724}"/>
            </c:ext>
          </c:extLst>
        </c:ser>
        <c:ser>
          <c:idx val="3"/>
          <c:order val="3"/>
          <c:tx>
            <c:strRef>
              <c:f>'Pivot Table'!$E$30:$E$31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Table'!$A$32:$A$35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Table'!$E$32:$E$35</c:f>
              <c:numCache>
                <c:formatCode>General</c:formatCode>
                <c:ptCount val="3"/>
                <c:pt idx="0">
                  <c:v>10419.539999999995</c:v>
                </c:pt>
                <c:pt idx="1">
                  <c:v>6499.7399999999989</c:v>
                </c:pt>
                <c:pt idx="2">
                  <c:v>19479.470000000005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FC-41BC-A647-F6538015D724}"/>
            </c:ext>
          </c:extLst>
        </c:ser>
        <c:ser>
          <c:idx val="4"/>
          <c:order val="4"/>
          <c:tx>
            <c:strRef>
              <c:f>'Pivot Table'!$F$30:$F$31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Table'!$A$32:$A$35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Table'!$F$32:$F$35</c:f>
              <c:numCache>
                <c:formatCode>General</c:formatCode>
                <c:ptCount val="3"/>
                <c:pt idx="0">
                  <c:v>11299.679999999995</c:v>
                </c:pt>
                <c:pt idx="1">
                  <c:v>10099.49</c:v>
                </c:pt>
                <c:pt idx="2">
                  <c:v>20009.510000000006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FC-41BC-A647-F6538015D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402704"/>
        <c:axId val="1402387344"/>
      </c:barChart>
      <c:catAx>
        <c:axId val="140240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387344"/>
        <c:crosses val="autoZero"/>
        <c:auto val="1"/>
        <c:lblAlgn val="ctr"/>
        <c:lblOffset val="100"/>
        <c:noMultiLvlLbl val="0"/>
      </c:catAx>
      <c:valAx>
        <c:axId val="140238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0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3</xdr:row>
      <xdr:rowOff>0</xdr:rowOff>
    </xdr:from>
    <xdr:to>
      <xdr:col>10</xdr:col>
      <xdr:colOff>586740</xdr:colOff>
      <xdr:row>20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7C8F09-51F0-4517-92F5-A0FF81CD9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</xdr:colOff>
      <xdr:row>2</xdr:row>
      <xdr:rowOff>175260</xdr:rowOff>
    </xdr:from>
    <xdr:to>
      <xdr:col>23</xdr:col>
      <xdr:colOff>152400</xdr:colOff>
      <xdr:row>20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EF259F-E8AD-404E-A9C3-F95A96795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20</xdr:row>
      <xdr:rowOff>160020</xdr:rowOff>
    </xdr:from>
    <xdr:to>
      <xdr:col>10</xdr:col>
      <xdr:colOff>586740</xdr:colOff>
      <xdr:row>35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82C25A-8448-4CC7-97CA-ADE37D1CC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53340</xdr:colOff>
      <xdr:row>20</xdr:row>
      <xdr:rowOff>160020</xdr:rowOff>
    </xdr:from>
    <xdr:to>
      <xdr:col>23</xdr:col>
      <xdr:colOff>137160</xdr:colOff>
      <xdr:row>35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93C3F0-6695-41DE-88DD-6D665653A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SH LAMBA" refreshedDate="46143.370227662039" createdVersion="8" refreshedVersion="8" minRefreshableVersion="3" recordCount="250" xr:uid="{870E7219-4D29-434B-8318-1C0914493E47}">
  <cacheSource type="worksheet">
    <worksheetSource ref="A1:R251" sheet="Sheet1"/>
  </cacheSource>
  <cacheFields count="18">
    <cacheField name="Transaction_ID" numFmtId="0">
      <sharedItems/>
    </cacheField>
    <cacheField name="Date" numFmtId="14">
      <sharedItems containsSemiMixedTypes="0" containsNonDate="0" containsDate="1" containsString="0" minDate="2024-04-11T00:00:00" maxDate="2025-04-12T00:00:00"/>
    </cacheField>
    <cacheField name="Customer_ID" numFmtId="0">
      <sharedItems/>
    </cacheField>
    <cacheField name="Customer_Name" numFmtId="0">
      <sharedItems/>
    </cacheField>
    <cacheField name="Product_ID" numFmtId="0">
      <sharedItems/>
    </cacheField>
    <cacheField name="Product_Name" numFmtId="0">
      <sharedItems count="10">
        <s v="Laptop"/>
        <s v="Smartphone"/>
        <s v="Desk"/>
        <s v="Monitor"/>
        <s v="Office Chair"/>
        <s v="Bookshelf"/>
        <s v="Headphones"/>
        <s v="Keyboard"/>
        <s v="Coffee Maker"/>
        <s v="Blender"/>
      </sharedItems>
    </cacheField>
    <cacheField name="Category" numFmtId="0">
      <sharedItems count="3">
        <s v="Electronics"/>
        <s v="Furniture"/>
        <s v="Appliances"/>
      </sharedItems>
    </cacheField>
    <cacheField name="Quantity" numFmtId="2">
      <sharedItems containsSemiMixedTypes="0" containsString="0" containsNumber="1" containsInteger="1" minValue="1" maxValue="5"/>
    </cacheField>
    <cacheField name="Unit_Price" numFmtId="2">
      <sharedItems containsSemiMixedTypes="0" containsString="0" containsNumber="1" minValue="59.99" maxValue="899.99"/>
    </cacheField>
    <cacheField name="Payment_Method" numFmtId="0">
      <sharedItems count="4">
        <s v="Credit Card"/>
        <s v="PayPal"/>
        <s v="Debit Card"/>
        <s v="Cash"/>
      </sharedItems>
    </cacheField>
    <cacheField name="Region" numFmtId="0">
      <sharedItems count="5">
        <s v="South"/>
        <s v="East"/>
        <s v="West"/>
        <s v="Central"/>
        <s v="North"/>
      </sharedItems>
    </cacheField>
    <cacheField name="Customer_Segment" numFmtId="0">
      <sharedItems count="3">
        <s v="Standard"/>
        <s v="Premium"/>
        <s v="Basic"/>
      </sharedItems>
    </cacheField>
    <cacheField name="Customer_Since" numFmtId="14">
      <sharedItems containsSemiMixedTypes="0" containsNonDate="0" containsDate="1" containsString="0" minDate="2021-07-18T00:00:00" maxDate="2024-04-12T00:00:00"/>
    </cacheField>
    <cacheField name="Total_Amount" numFmtId="0">
      <sharedItems containsSemiMixedTypes="0" containsString="0" containsNumber="1" minValue="59.99" maxValue="4499.95"/>
    </cacheField>
    <cacheField name="Current Date" numFmtId="14">
      <sharedItems containsSemiMixedTypes="0" containsNonDate="0" containsDate="1" containsString="0" minDate="2026-05-01T00:00:00" maxDate="2026-05-02T00:00:00"/>
    </cacheField>
    <cacheField name="Current Timestamp" numFmtId="22">
      <sharedItems containsSemiMixedTypes="0" containsNonDate="0" containsDate="1" containsString="0" minDate="2026-05-01T08:51:36" maxDate="2026-05-01T08:51:36"/>
    </cacheField>
    <cacheField name="Date Difference" numFmtId="0">
      <sharedItems containsSemiMixedTypes="0" containsString="0" containsNumber="1" containsInteger="1" minValue="36" maxValue="1299"/>
    </cacheField>
    <cacheField name="End of Month" numFmtId="14">
      <sharedItems containsSemiMixedTypes="0" containsNonDate="0" containsDate="1" containsString="0" minDate="2024-04-30T00:00:00" maxDate="2025-05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RX0154"/>
    <d v="2024-06-16T00:00:00"/>
    <s v="CUST023"/>
    <s v="Paul Baker"/>
    <s v="P001"/>
    <x v="0"/>
    <x v="0"/>
    <n v="5"/>
    <n v="899.99"/>
    <x v="0"/>
    <x v="0"/>
    <x v="0"/>
    <d v="2023-02-17T00:00:00"/>
    <n v="4499.95"/>
    <d v="2026-05-01T00:00:00"/>
    <d v="2026-05-01T08:51:36"/>
    <n v="485"/>
    <d v="2024-06-30T00:00:00"/>
  </r>
  <r>
    <s v="TRX0044"/>
    <d v="2024-06-16T00:00:00"/>
    <s v="CUST029"/>
    <s v="Edward Mitchell"/>
    <s v="P001"/>
    <x v="0"/>
    <x v="0"/>
    <n v="5"/>
    <n v="899.99"/>
    <x v="1"/>
    <x v="1"/>
    <x v="1"/>
    <d v="2023-12-18T00:00:00"/>
    <n v="4499.95"/>
    <d v="2026-05-01T00:00:00"/>
    <d v="2026-05-01T08:51:36"/>
    <n v="181"/>
    <d v="2024-06-30T00:00:00"/>
  </r>
  <r>
    <s v="TRX0244"/>
    <d v="2024-07-24T00:00:00"/>
    <s v="CUST013"/>
    <s v="Joseph Jackson"/>
    <s v="P001"/>
    <x v="0"/>
    <x v="0"/>
    <n v="5"/>
    <n v="899.99"/>
    <x v="2"/>
    <x v="0"/>
    <x v="0"/>
    <d v="2022-12-04T00:00:00"/>
    <n v="4499.95"/>
    <d v="2026-05-01T00:00:00"/>
    <d v="2026-05-01T08:51:36"/>
    <n v="598"/>
    <d v="2024-07-31T00:00:00"/>
  </r>
  <r>
    <s v="TRX0132"/>
    <d v="2024-08-19T00:00:00"/>
    <s v="CUST047"/>
    <s v="Gerald Murphy"/>
    <s v="P001"/>
    <x v="0"/>
    <x v="0"/>
    <n v="5"/>
    <n v="899.99"/>
    <x v="2"/>
    <x v="1"/>
    <x v="2"/>
    <d v="2021-11-26T00:00:00"/>
    <n v="4499.95"/>
    <d v="2026-05-01T00:00:00"/>
    <d v="2026-05-01T08:51:36"/>
    <n v="997"/>
    <d v="2024-08-31T00:00:00"/>
  </r>
  <r>
    <s v="TRX0163"/>
    <d v="2024-12-19T00:00:00"/>
    <s v="CUST019"/>
    <s v="Daniel King"/>
    <s v="P001"/>
    <x v="0"/>
    <x v="0"/>
    <n v="5"/>
    <n v="899.99"/>
    <x v="2"/>
    <x v="1"/>
    <x v="0"/>
    <d v="2022-03-05T00:00:00"/>
    <n v="4499.95"/>
    <d v="2026-05-01T00:00:00"/>
    <d v="2026-05-01T08:51:36"/>
    <n v="1020"/>
    <d v="2024-12-31T00:00:00"/>
  </r>
  <r>
    <s v="TRX0016"/>
    <d v="2025-03-08T00:00:00"/>
    <s v="CUST035"/>
    <s v="Harry Morgan"/>
    <s v="P001"/>
    <x v="0"/>
    <x v="0"/>
    <n v="5"/>
    <n v="899.99"/>
    <x v="1"/>
    <x v="1"/>
    <x v="1"/>
    <d v="2024-04-07T00:00:00"/>
    <n v="4499.95"/>
    <d v="2026-05-01T00:00:00"/>
    <d v="2026-05-01T08:51:36"/>
    <n v="335"/>
    <d v="2025-03-31T00:00:00"/>
  </r>
  <r>
    <s v="TRX0122"/>
    <d v="2024-04-28T00:00:00"/>
    <s v="CUST025"/>
    <s v="Mark Carter"/>
    <s v="P001"/>
    <x v="0"/>
    <x v="0"/>
    <n v="4"/>
    <n v="899.99"/>
    <x v="0"/>
    <x v="2"/>
    <x v="0"/>
    <d v="2024-02-05T00:00:00"/>
    <n v="3599.96"/>
    <d v="2026-05-01T00:00:00"/>
    <d v="2026-05-01T08:51:36"/>
    <n v="83"/>
    <d v="2024-04-30T00:00:00"/>
  </r>
  <r>
    <s v="TRX0104"/>
    <d v="2024-06-28T00:00:00"/>
    <s v="CUST012"/>
    <s v="Patricia Moore"/>
    <s v="P001"/>
    <x v="0"/>
    <x v="0"/>
    <n v="4"/>
    <n v="899.99"/>
    <x v="0"/>
    <x v="1"/>
    <x v="1"/>
    <d v="2023-03-08T00:00:00"/>
    <n v="3599.96"/>
    <d v="2026-05-01T00:00:00"/>
    <d v="2026-05-01T08:51:36"/>
    <n v="478"/>
    <d v="2024-06-30T00:00:00"/>
  </r>
  <r>
    <s v="TRX0249"/>
    <d v="2024-07-31T00:00:00"/>
    <s v="CUST030"/>
    <s v="Helen Roberts"/>
    <s v="P001"/>
    <x v="0"/>
    <x v="0"/>
    <n v="4"/>
    <n v="899.99"/>
    <x v="2"/>
    <x v="0"/>
    <x v="0"/>
    <d v="2021-11-23T00:00:00"/>
    <n v="3599.96"/>
    <d v="2026-05-01T00:00:00"/>
    <d v="2026-05-01T08:51:36"/>
    <n v="981"/>
    <d v="2024-07-31T00:00:00"/>
  </r>
  <r>
    <s v="TRX0030"/>
    <d v="2025-01-29T00:00:00"/>
    <s v="CUST011"/>
    <s v="William White"/>
    <s v="P001"/>
    <x v="0"/>
    <x v="0"/>
    <n v="4"/>
    <n v="899.99"/>
    <x v="1"/>
    <x v="3"/>
    <x v="2"/>
    <d v="2022-06-22T00:00:00"/>
    <n v="3599.96"/>
    <d v="2026-05-01T00:00:00"/>
    <d v="2026-05-01T08:51:36"/>
    <n v="952"/>
    <d v="2025-01-31T00:00:00"/>
  </r>
  <r>
    <s v="TRX0231"/>
    <d v="2024-04-30T00:00:00"/>
    <s v="CUST018"/>
    <s v="Barbara Young"/>
    <s v="P002"/>
    <x v="1"/>
    <x v="0"/>
    <n v="5"/>
    <n v="699.99"/>
    <x v="3"/>
    <x v="2"/>
    <x v="2"/>
    <d v="2023-08-29T00:00:00"/>
    <n v="3499.95"/>
    <d v="2026-05-01T00:00:00"/>
    <d v="2026-05-01T08:51:36"/>
    <n v="245"/>
    <d v="2024-04-30T00:00:00"/>
  </r>
  <r>
    <s v="TRX0015"/>
    <d v="2024-05-28T00:00:00"/>
    <s v="CUST008"/>
    <s v="Jennifer Taylor"/>
    <s v="P002"/>
    <x v="1"/>
    <x v="0"/>
    <n v="5"/>
    <n v="699.99"/>
    <x v="1"/>
    <x v="2"/>
    <x v="0"/>
    <d v="2021-07-30T00:00:00"/>
    <n v="3499.95"/>
    <d v="2026-05-01T00:00:00"/>
    <d v="2026-05-01T08:51:36"/>
    <n v="1033"/>
    <d v="2024-05-31T00:00:00"/>
  </r>
  <r>
    <s v="TRX0173"/>
    <d v="2024-10-16T00:00:00"/>
    <s v="CUST018"/>
    <s v="Barbara Young"/>
    <s v="P002"/>
    <x v="1"/>
    <x v="0"/>
    <n v="5"/>
    <n v="699.99"/>
    <x v="3"/>
    <x v="1"/>
    <x v="0"/>
    <d v="2023-03-23T00:00:00"/>
    <n v="3499.95"/>
    <d v="2026-05-01T00:00:00"/>
    <d v="2026-05-01T08:51:36"/>
    <n v="573"/>
    <d v="2024-10-31T00:00:00"/>
  </r>
  <r>
    <s v="TRX0167"/>
    <d v="2024-10-24T00:00:00"/>
    <s v="CUST028"/>
    <s v="Betty Campbell"/>
    <s v="P002"/>
    <x v="1"/>
    <x v="0"/>
    <n v="5"/>
    <n v="699.99"/>
    <x v="3"/>
    <x v="4"/>
    <x v="1"/>
    <d v="2022-03-15T00:00:00"/>
    <n v="3499.95"/>
    <d v="2026-05-01T00:00:00"/>
    <d v="2026-05-01T08:51:36"/>
    <n v="954"/>
    <d v="2024-10-31T00:00:00"/>
  </r>
  <r>
    <s v="TRX0201"/>
    <d v="2024-12-01T00:00:00"/>
    <s v="CUST025"/>
    <s v="Mark Carter"/>
    <s v="P002"/>
    <x v="1"/>
    <x v="0"/>
    <n v="5"/>
    <n v="699.99"/>
    <x v="2"/>
    <x v="2"/>
    <x v="0"/>
    <d v="2023-01-18T00:00:00"/>
    <n v="3499.95"/>
    <d v="2026-05-01T00:00:00"/>
    <d v="2026-05-01T08:51:36"/>
    <n v="683"/>
    <d v="2024-12-31T00:00:00"/>
  </r>
  <r>
    <s v="TRX0179"/>
    <d v="2025-02-19T00:00:00"/>
    <s v="CUST029"/>
    <s v="Edward Mitchell"/>
    <s v="P002"/>
    <x v="1"/>
    <x v="0"/>
    <n v="5"/>
    <n v="699.99"/>
    <x v="1"/>
    <x v="0"/>
    <x v="1"/>
    <d v="2024-03-01T00:00:00"/>
    <n v="3499.95"/>
    <d v="2026-05-01T00:00:00"/>
    <d v="2026-05-01T08:51:36"/>
    <n v="355"/>
    <d v="2025-02-28T00:00:00"/>
  </r>
  <r>
    <s v="TRX0226"/>
    <d v="2025-03-04T00:00:00"/>
    <s v="CUST039"/>
    <s v="Lawrence Reed"/>
    <s v="P002"/>
    <x v="1"/>
    <x v="0"/>
    <n v="5"/>
    <n v="699.99"/>
    <x v="2"/>
    <x v="1"/>
    <x v="1"/>
    <d v="2023-08-23T00:00:00"/>
    <n v="3499.95"/>
    <d v="2026-05-01T00:00:00"/>
    <d v="2026-05-01T08:51:36"/>
    <n v="559"/>
    <d v="2025-03-31T00:00:00"/>
  </r>
  <r>
    <s v="TRX0239"/>
    <d v="2024-05-01T00:00:00"/>
    <s v="CUST012"/>
    <s v="Patricia Moore"/>
    <s v="P002"/>
    <x v="1"/>
    <x v="0"/>
    <n v="4"/>
    <n v="699.99"/>
    <x v="3"/>
    <x v="1"/>
    <x v="0"/>
    <d v="2021-08-01T00:00:00"/>
    <n v="2799.96"/>
    <d v="2026-05-01T00:00:00"/>
    <d v="2026-05-01T08:51:36"/>
    <n v="1004"/>
    <d v="2024-05-31T00:00:00"/>
  </r>
  <r>
    <s v="TRX0123"/>
    <d v="2024-09-19T00:00:00"/>
    <s v="CUST041"/>
    <s v="Peter Richardson"/>
    <s v="P002"/>
    <x v="1"/>
    <x v="0"/>
    <n v="4"/>
    <n v="699.99"/>
    <x v="1"/>
    <x v="0"/>
    <x v="2"/>
    <d v="2022-02-26T00:00:00"/>
    <n v="2799.96"/>
    <d v="2026-05-01T00:00:00"/>
    <d v="2026-05-01T08:51:36"/>
    <n v="936"/>
    <d v="2024-09-30T00:00:00"/>
  </r>
  <r>
    <s v="TRX0034"/>
    <d v="2024-10-16T00:00:00"/>
    <s v="CUST049"/>
    <s v="Raymond Ross"/>
    <s v="P002"/>
    <x v="1"/>
    <x v="0"/>
    <n v="4"/>
    <n v="699.99"/>
    <x v="0"/>
    <x v="3"/>
    <x v="2"/>
    <d v="2024-04-03T00:00:00"/>
    <n v="2799.96"/>
    <d v="2026-05-01T00:00:00"/>
    <d v="2026-05-01T08:51:36"/>
    <n v="196"/>
    <d v="2024-10-31T00:00:00"/>
  </r>
  <r>
    <s v="TRX0066"/>
    <d v="2024-12-04T00:00:00"/>
    <s v="CUST024"/>
    <s v="Dorothy Nelson"/>
    <s v="P002"/>
    <x v="1"/>
    <x v="0"/>
    <n v="4"/>
    <n v="699.99"/>
    <x v="0"/>
    <x v="4"/>
    <x v="1"/>
    <d v="2022-05-22T00:00:00"/>
    <n v="2799.96"/>
    <d v="2026-05-01T00:00:00"/>
    <d v="2026-05-01T08:51:36"/>
    <n v="927"/>
    <d v="2024-12-31T00:00:00"/>
  </r>
  <r>
    <s v="TRX0010"/>
    <d v="2025-01-31T00:00:00"/>
    <s v="CUST026"/>
    <s v="Karen Hill"/>
    <s v="P002"/>
    <x v="1"/>
    <x v="0"/>
    <n v="4"/>
    <n v="699.99"/>
    <x v="2"/>
    <x v="2"/>
    <x v="1"/>
    <d v="2022-05-11T00:00:00"/>
    <n v="2799.96"/>
    <d v="2026-05-01T00:00:00"/>
    <d v="2026-05-01T08:51:36"/>
    <n v="996"/>
    <d v="2025-01-31T00:00:00"/>
  </r>
  <r>
    <s v="TRX0135"/>
    <d v="2024-04-23T00:00:00"/>
    <s v="CUST009"/>
    <s v="Robert Thomas"/>
    <s v="P001"/>
    <x v="0"/>
    <x v="0"/>
    <n v="3"/>
    <n v="899.99"/>
    <x v="1"/>
    <x v="1"/>
    <x v="0"/>
    <d v="2024-01-08T00:00:00"/>
    <n v="2699.9700000000003"/>
    <d v="2026-05-01T00:00:00"/>
    <d v="2026-05-01T08:51:36"/>
    <n v="106"/>
    <d v="2024-04-30T00:00:00"/>
  </r>
  <r>
    <s v="TRX0177"/>
    <d v="2024-09-24T00:00:00"/>
    <s v="CUST032"/>
    <s v="Sandra Phillips"/>
    <s v="P001"/>
    <x v="0"/>
    <x v="0"/>
    <n v="3"/>
    <n v="899.99"/>
    <x v="0"/>
    <x v="4"/>
    <x v="0"/>
    <d v="2023-08-19T00:00:00"/>
    <n v="2699.9700000000003"/>
    <d v="2026-05-01T00:00:00"/>
    <d v="2026-05-01T08:51:36"/>
    <n v="402"/>
    <d v="2024-09-30T00:00:00"/>
  </r>
  <r>
    <s v="TRX0158"/>
    <d v="2024-10-14T00:00:00"/>
    <s v="CUST027"/>
    <s v="George Adams"/>
    <s v="P001"/>
    <x v="0"/>
    <x v="0"/>
    <n v="3"/>
    <n v="899.99"/>
    <x v="1"/>
    <x v="2"/>
    <x v="2"/>
    <d v="2023-10-16T00:00:00"/>
    <n v="2699.9700000000003"/>
    <d v="2026-05-01T00:00:00"/>
    <d v="2026-05-01T08:51:36"/>
    <n v="364"/>
    <d v="2024-10-31T00:00:00"/>
  </r>
  <r>
    <s v="TRX0214"/>
    <d v="2025-02-20T00:00:00"/>
    <s v="CUST018"/>
    <s v="Barbara Young"/>
    <s v="P001"/>
    <x v="0"/>
    <x v="0"/>
    <n v="3"/>
    <n v="899.99"/>
    <x v="3"/>
    <x v="1"/>
    <x v="0"/>
    <d v="2022-02-21T00:00:00"/>
    <n v="2699.9700000000003"/>
    <d v="2026-05-01T00:00:00"/>
    <d v="2026-05-01T08:51:36"/>
    <n v="1095"/>
    <d v="2025-02-28T00:00:00"/>
  </r>
  <r>
    <s v="TRX0124"/>
    <d v="2025-03-21T00:00:00"/>
    <s v="CUST040"/>
    <s v="Sharon Butler"/>
    <s v="P001"/>
    <x v="0"/>
    <x v="0"/>
    <n v="3"/>
    <n v="899.99"/>
    <x v="2"/>
    <x v="4"/>
    <x v="1"/>
    <d v="2022-11-11T00:00:00"/>
    <n v="2699.9700000000003"/>
    <d v="2026-05-01T00:00:00"/>
    <d v="2026-05-01T08:51:36"/>
    <n v="861"/>
    <d v="2025-03-31T00:00:00"/>
  </r>
  <r>
    <s v="TRX0013"/>
    <d v="2025-03-21T00:00:00"/>
    <s v="CUST024"/>
    <s v="Dorothy Nelson"/>
    <s v="P001"/>
    <x v="0"/>
    <x v="0"/>
    <n v="3"/>
    <n v="899.99"/>
    <x v="1"/>
    <x v="4"/>
    <x v="2"/>
    <d v="2023-02-18T00:00:00"/>
    <n v="2699.9700000000003"/>
    <d v="2026-05-01T00:00:00"/>
    <d v="2026-05-01T08:51:36"/>
    <n v="762"/>
    <d v="2025-03-31T00:00:00"/>
  </r>
  <r>
    <s v="TRX0144"/>
    <d v="2025-04-02T00:00:00"/>
    <s v="CUST029"/>
    <s v="Edward Mitchell"/>
    <s v="P001"/>
    <x v="0"/>
    <x v="0"/>
    <n v="3"/>
    <n v="899.99"/>
    <x v="3"/>
    <x v="3"/>
    <x v="0"/>
    <d v="2023-01-27T00:00:00"/>
    <n v="2699.9700000000003"/>
    <d v="2026-05-01T00:00:00"/>
    <d v="2026-05-01T08:51:36"/>
    <n v="796"/>
    <d v="2025-04-30T00:00:00"/>
  </r>
  <r>
    <s v="TRX0191"/>
    <d v="2024-04-27T00:00:00"/>
    <s v="CUST038"/>
    <s v="Michelle Rogers"/>
    <s v="P002"/>
    <x v="1"/>
    <x v="0"/>
    <n v="3"/>
    <n v="699.99"/>
    <x v="0"/>
    <x v="2"/>
    <x v="2"/>
    <d v="2022-01-16T00:00:00"/>
    <n v="2099.9700000000003"/>
    <d v="2026-05-01T00:00:00"/>
    <d v="2026-05-01T08:51:36"/>
    <n v="832"/>
    <d v="2024-04-30T00:00:00"/>
  </r>
  <r>
    <s v="TRX0184"/>
    <d v="2024-06-28T00:00:00"/>
    <s v="CUST046"/>
    <s v="Kathleen Bennett"/>
    <s v="P002"/>
    <x v="1"/>
    <x v="0"/>
    <n v="3"/>
    <n v="699.99"/>
    <x v="0"/>
    <x v="1"/>
    <x v="1"/>
    <d v="2023-06-25T00:00:00"/>
    <n v="2099.9700000000003"/>
    <d v="2026-05-01T00:00:00"/>
    <d v="2026-05-01T08:51:36"/>
    <n v="369"/>
    <d v="2024-06-30T00:00:00"/>
  </r>
  <r>
    <s v="TRX0148"/>
    <d v="2024-11-23T00:00:00"/>
    <s v="CUST004"/>
    <s v="Sarah Davis"/>
    <s v="P002"/>
    <x v="1"/>
    <x v="0"/>
    <n v="3"/>
    <n v="699.99"/>
    <x v="1"/>
    <x v="2"/>
    <x v="0"/>
    <d v="2022-01-22T00:00:00"/>
    <n v="2099.9700000000003"/>
    <d v="2026-05-01T00:00:00"/>
    <d v="2026-05-01T08:51:36"/>
    <n v="1036"/>
    <d v="2024-11-30T00:00:00"/>
  </r>
  <r>
    <s v="TRX0125"/>
    <d v="2025-01-09T00:00:00"/>
    <s v="CUST026"/>
    <s v="Karen Hill"/>
    <s v="P002"/>
    <x v="1"/>
    <x v="0"/>
    <n v="3"/>
    <n v="699.99"/>
    <x v="0"/>
    <x v="3"/>
    <x v="1"/>
    <d v="2023-06-28T00:00:00"/>
    <n v="2099.9700000000003"/>
    <d v="2026-05-01T00:00:00"/>
    <d v="2026-05-01T08:51:36"/>
    <n v="561"/>
    <d v="2025-01-31T00:00:00"/>
  </r>
  <r>
    <s v="TRX0238"/>
    <d v="2025-01-11T00:00:00"/>
    <s v="CUST038"/>
    <s v="Michelle Rogers"/>
    <s v="P002"/>
    <x v="1"/>
    <x v="0"/>
    <n v="3"/>
    <n v="699.99"/>
    <x v="3"/>
    <x v="4"/>
    <x v="1"/>
    <d v="2022-02-10T00:00:00"/>
    <n v="2099.9700000000003"/>
    <d v="2026-05-01T00:00:00"/>
    <d v="2026-05-01T08:51:36"/>
    <n v="1066"/>
    <d v="2025-01-31T00:00:00"/>
  </r>
  <r>
    <s v="TRX0120"/>
    <d v="2025-04-11T00:00:00"/>
    <s v="CUST045"/>
    <s v="Douglas Watson"/>
    <s v="P002"/>
    <x v="1"/>
    <x v="0"/>
    <n v="3"/>
    <n v="699.99"/>
    <x v="1"/>
    <x v="4"/>
    <x v="2"/>
    <d v="2022-12-14T00:00:00"/>
    <n v="2099.9700000000003"/>
    <d v="2026-05-01T00:00:00"/>
    <d v="2026-05-01T08:51:36"/>
    <n v="849"/>
    <d v="2025-04-30T00:00:00"/>
  </r>
  <r>
    <s v="TRX0032"/>
    <d v="2024-12-12T00:00:00"/>
    <s v="CUST041"/>
    <s v="Peter Richardson"/>
    <s v="P001"/>
    <x v="0"/>
    <x v="0"/>
    <n v="2"/>
    <n v="899.99"/>
    <x v="3"/>
    <x v="4"/>
    <x v="2"/>
    <d v="2021-07-29T00:00:00"/>
    <n v="1799.98"/>
    <d v="2026-05-01T00:00:00"/>
    <d v="2026-05-01T08:51:36"/>
    <n v="1232"/>
    <d v="2024-12-31T00:00:00"/>
  </r>
  <r>
    <s v="TRX0040"/>
    <d v="2024-05-12T00:00:00"/>
    <s v="CUST022"/>
    <s v="Susan Green"/>
    <s v="P007"/>
    <x v="2"/>
    <x v="1"/>
    <n v="5"/>
    <n v="299.99"/>
    <x v="1"/>
    <x v="1"/>
    <x v="2"/>
    <d v="2023-08-30T00:00:00"/>
    <n v="1499.95"/>
    <d v="2026-05-01T00:00:00"/>
    <d v="2026-05-01T08:51:36"/>
    <n v="256"/>
    <d v="2024-05-31T00:00:00"/>
  </r>
  <r>
    <s v="TRX0205"/>
    <d v="2024-08-11T00:00:00"/>
    <s v="CUST025"/>
    <s v="Mark Carter"/>
    <s v="P007"/>
    <x v="2"/>
    <x v="1"/>
    <n v="5"/>
    <n v="299.99"/>
    <x v="0"/>
    <x v="4"/>
    <x v="2"/>
    <d v="2023-02-08T00:00:00"/>
    <n v="1499.95"/>
    <d v="2026-05-01T00:00:00"/>
    <d v="2026-05-01T08:51:36"/>
    <n v="550"/>
    <d v="2024-08-31T00:00:00"/>
  </r>
  <r>
    <s v="TRX0059"/>
    <d v="2025-01-16T00:00:00"/>
    <s v="CUST016"/>
    <s v="Elizabeth Hall"/>
    <s v="P007"/>
    <x v="2"/>
    <x v="1"/>
    <n v="5"/>
    <n v="299.99"/>
    <x v="2"/>
    <x v="3"/>
    <x v="2"/>
    <d v="2021-08-23T00:00:00"/>
    <n v="1499.95"/>
    <d v="2026-05-01T00:00:00"/>
    <d v="2026-05-01T08:51:36"/>
    <n v="1242"/>
    <d v="2025-01-31T00:00:00"/>
  </r>
  <r>
    <s v="TRX0105"/>
    <d v="2025-02-07T00:00:00"/>
    <s v="CUST048"/>
    <s v="Virginia Sanders"/>
    <s v="P007"/>
    <x v="2"/>
    <x v="1"/>
    <n v="5"/>
    <n v="299.99"/>
    <x v="0"/>
    <x v="0"/>
    <x v="2"/>
    <d v="2023-02-02T00:00:00"/>
    <n v="1499.95"/>
    <d v="2026-05-01T00:00:00"/>
    <d v="2026-05-01T08:51:36"/>
    <n v="736"/>
    <d v="2025-02-28T00:00:00"/>
  </r>
  <r>
    <s v="TRX0083"/>
    <d v="2025-02-22T00:00:00"/>
    <s v="CUST017"/>
    <s v="Charles Allen"/>
    <s v="P007"/>
    <x v="2"/>
    <x v="1"/>
    <n v="5"/>
    <n v="299.99"/>
    <x v="3"/>
    <x v="2"/>
    <x v="0"/>
    <d v="2023-08-04T00:00:00"/>
    <n v="1499.95"/>
    <d v="2026-05-01T00:00:00"/>
    <d v="2026-05-01T08:51:36"/>
    <n v="568"/>
    <d v="2025-02-28T00:00:00"/>
  </r>
  <r>
    <s v="TRX0134"/>
    <d v="2024-04-28T00:00:00"/>
    <s v="CUST010"/>
    <s v="Maria Garcia"/>
    <s v="P002"/>
    <x v="1"/>
    <x v="0"/>
    <n v="2"/>
    <n v="699.99"/>
    <x v="3"/>
    <x v="4"/>
    <x v="2"/>
    <d v="2022-08-08T00:00:00"/>
    <n v="1399.98"/>
    <d v="2026-05-01T00:00:00"/>
    <d v="2026-05-01T08:51:36"/>
    <n v="629"/>
    <d v="2024-04-30T00:00:00"/>
  </r>
  <r>
    <s v="TRX0113"/>
    <d v="2024-07-08T00:00:00"/>
    <s v="CUST003"/>
    <s v="Michael Brown"/>
    <s v="P002"/>
    <x v="1"/>
    <x v="0"/>
    <n v="2"/>
    <n v="699.99"/>
    <x v="1"/>
    <x v="1"/>
    <x v="1"/>
    <d v="2024-04-07T00:00:00"/>
    <n v="1399.98"/>
    <d v="2026-05-01T00:00:00"/>
    <d v="2026-05-01T08:51:36"/>
    <n v="92"/>
    <d v="2024-07-31T00:00:00"/>
  </r>
  <r>
    <s v="TRX0217"/>
    <d v="2024-07-30T00:00:00"/>
    <s v="CUST025"/>
    <s v="Mark Carter"/>
    <s v="P002"/>
    <x v="1"/>
    <x v="0"/>
    <n v="2"/>
    <n v="699.99"/>
    <x v="0"/>
    <x v="4"/>
    <x v="1"/>
    <d v="2023-03-14T00:00:00"/>
    <n v="1399.98"/>
    <d v="2026-05-01T00:00:00"/>
    <d v="2026-05-01T08:51:36"/>
    <n v="504"/>
    <d v="2024-07-31T00:00:00"/>
  </r>
  <r>
    <s v="TRX0248"/>
    <d v="2024-08-30T00:00:00"/>
    <s v="CUST032"/>
    <s v="Sandra Phillips"/>
    <s v="P002"/>
    <x v="1"/>
    <x v="0"/>
    <n v="2"/>
    <n v="699.99"/>
    <x v="0"/>
    <x v="4"/>
    <x v="1"/>
    <d v="2021-08-13T00:00:00"/>
    <n v="1399.98"/>
    <d v="2026-05-01T00:00:00"/>
    <d v="2026-05-01T08:51:36"/>
    <n v="1113"/>
    <d v="2024-08-31T00:00:00"/>
  </r>
  <r>
    <s v="TRX0225"/>
    <d v="2024-09-03T00:00:00"/>
    <s v="CUST039"/>
    <s v="Lawrence Reed"/>
    <s v="P002"/>
    <x v="1"/>
    <x v="0"/>
    <n v="2"/>
    <n v="699.99"/>
    <x v="2"/>
    <x v="3"/>
    <x v="1"/>
    <d v="2022-11-05T00:00:00"/>
    <n v="1399.98"/>
    <d v="2026-05-01T00:00:00"/>
    <d v="2026-05-01T08:51:36"/>
    <n v="668"/>
    <d v="2024-09-30T00:00:00"/>
  </r>
  <r>
    <s v="TRX0055"/>
    <d v="2024-10-08T00:00:00"/>
    <s v="CUST016"/>
    <s v="Elizabeth Hall"/>
    <s v="P002"/>
    <x v="1"/>
    <x v="0"/>
    <n v="2"/>
    <n v="699.99"/>
    <x v="2"/>
    <x v="1"/>
    <x v="1"/>
    <d v="2023-12-14T00:00:00"/>
    <n v="1399.98"/>
    <d v="2026-05-01T00:00:00"/>
    <d v="2026-05-01T08:51:36"/>
    <n v="299"/>
    <d v="2024-10-31T00:00:00"/>
  </r>
  <r>
    <s v="TRX0009"/>
    <d v="2024-10-23T00:00:00"/>
    <s v="CUST004"/>
    <s v="Sarah Davis"/>
    <s v="P002"/>
    <x v="1"/>
    <x v="0"/>
    <n v="2"/>
    <n v="699.99"/>
    <x v="3"/>
    <x v="3"/>
    <x v="2"/>
    <d v="2023-03-07T00:00:00"/>
    <n v="1399.98"/>
    <d v="2026-05-01T00:00:00"/>
    <d v="2026-05-01T08:51:36"/>
    <n v="596"/>
    <d v="2024-10-31T00:00:00"/>
  </r>
  <r>
    <s v="TRX0033"/>
    <d v="2024-11-17T00:00:00"/>
    <s v="CUST025"/>
    <s v="Mark Carter"/>
    <s v="P002"/>
    <x v="1"/>
    <x v="0"/>
    <n v="2"/>
    <n v="699.99"/>
    <x v="1"/>
    <x v="2"/>
    <x v="0"/>
    <d v="2022-07-28T00:00:00"/>
    <n v="1399.98"/>
    <d v="2026-05-01T00:00:00"/>
    <d v="2026-05-01T08:51:36"/>
    <n v="843"/>
    <d v="2024-11-30T00:00:00"/>
  </r>
  <r>
    <s v="TRX0188"/>
    <d v="2025-01-29T00:00:00"/>
    <s v="CUST045"/>
    <s v="Douglas Watson"/>
    <s v="P002"/>
    <x v="1"/>
    <x v="0"/>
    <n v="2"/>
    <n v="699.99"/>
    <x v="2"/>
    <x v="3"/>
    <x v="1"/>
    <d v="2022-04-30T00:00:00"/>
    <n v="1399.98"/>
    <d v="2026-05-01T00:00:00"/>
    <d v="2026-05-01T08:51:36"/>
    <n v="1005"/>
    <d v="2025-01-31T00:00:00"/>
  </r>
  <r>
    <s v="TRX0068"/>
    <d v="2025-04-01T00:00:00"/>
    <s v="CUST044"/>
    <s v="Cynthia Price"/>
    <s v="P002"/>
    <x v="1"/>
    <x v="0"/>
    <n v="2"/>
    <n v="699.99"/>
    <x v="1"/>
    <x v="4"/>
    <x v="0"/>
    <d v="2022-02-26T00:00:00"/>
    <n v="1399.98"/>
    <d v="2026-05-01T00:00:00"/>
    <d v="2026-05-01T08:51:36"/>
    <n v="1130"/>
    <d v="2025-04-30T00:00:00"/>
  </r>
  <r>
    <s v="TRX0071"/>
    <d v="2024-05-10T00:00:00"/>
    <s v="CUST036"/>
    <s v="Nancy Collins"/>
    <s v="P009"/>
    <x v="3"/>
    <x v="0"/>
    <n v="5"/>
    <n v="249.99"/>
    <x v="0"/>
    <x v="2"/>
    <x v="0"/>
    <d v="2021-11-25T00:00:00"/>
    <n v="1249.95"/>
    <d v="2026-05-01T00:00:00"/>
    <d v="2026-05-01T08:51:36"/>
    <n v="897"/>
    <d v="2024-05-31T00:00:00"/>
  </r>
  <r>
    <s v="TRX0234"/>
    <d v="2024-06-06T00:00:00"/>
    <s v="CUST013"/>
    <s v="Joseph Jackson"/>
    <s v="P009"/>
    <x v="3"/>
    <x v="0"/>
    <n v="5"/>
    <n v="249.99"/>
    <x v="0"/>
    <x v="1"/>
    <x v="0"/>
    <d v="2022-05-26T00:00:00"/>
    <n v="1249.95"/>
    <d v="2026-05-01T00:00:00"/>
    <d v="2026-05-01T08:51:36"/>
    <n v="742"/>
    <d v="2024-06-30T00:00:00"/>
  </r>
  <r>
    <s v="TRX0075"/>
    <d v="2024-08-13T00:00:00"/>
    <s v="CUST020"/>
    <s v="Margaret Wright"/>
    <s v="P009"/>
    <x v="3"/>
    <x v="0"/>
    <n v="5"/>
    <n v="249.99"/>
    <x v="1"/>
    <x v="1"/>
    <x v="1"/>
    <d v="2022-08-09T00:00:00"/>
    <n v="1249.95"/>
    <d v="2026-05-01T00:00:00"/>
    <d v="2026-05-01T08:51:36"/>
    <n v="735"/>
    <d v="2024-08-31T00:00:00"/>
  </r>
  <r>
    <s v="TRX0057"/>
    <d v="2024-11-01T00:00:00"/>
    <s v="CUST023"/>
    <s v="Paul Baker"/>
    <s v="P009"/>
    <x v="3"/>
    <x v="0"/>
    <n v="5"/>
    <n v="249.99"/>
    <x v="0"/>
    <x v="0"/>
    <x v="0"/>
    <d v="2022-11-16T00:00:00"/>
    <n v="1249.95"/>
    <d v="2026-05-01T00:00:00"/>
    <d v="2026-05-01T08:51:36"/>
    <n v="716"/>
    <d v="2024-11-30T00:00:00"/>
  </r>
  <r>
    <s v="TRX0012"/>
    <d v="2024-11-26T00:00:00"/>
    <s v="CUST045"/>
    <s v="Douglas Watson"/>
    <s v="P009"/>
    <x v="3"/>
    <x v="0"/>
    <n v="5"/>
    <n v="249.99"/>
    <x v="0"/>
    <x v="4"/>
    <x v="2"/>
    <d v="2022-11-08T00:00:00"/>
    <n v="1249.95"/>
    <d v="2026-05-01T00:00:00"/>
    <d v="2026-05-01T08:51:36"/>
    <n v="749"/>
    <d v="2024-11-30T00:00:00"/>
  </r>
  <r>
    <s v="TRX0094"/>
    <d v="2024-12-01T00:00:00"/>
    <s v="CUST017"/>
    <s v="Charles Allen"/>
    <s v="P009"/>
    <x v="3"/>
    <x v="0"/>
    <n v="5"/>
    <n v="249.99"/>
    <x v="3"/>
    <x v="3"/>
    <x v="1"/>
    <d v="2021-10-16T00:00:00"/>
    <n v="1249.95"/>
    <d v="2026-05-01T00:00:00"/>
    <d v="2026-05-01T08:51:36"/>
    <n v="1142"/>
    <d v="2024-12-31T00:00:00"/>
  </r>
  <r>
    <s v="TRX0243"/>
    <d v="2025-01-10T00:00:00"/>
    <s v="CUST048"/>
    <s v="Virginia Sanders"/>
    <s v="P009"/>
    <x v="3"/>
    <x v="0"/>
    <n v="5"/>
    <n v="249.99"/>
    <x v="0"/>
    <x v="0"/>
    <x v="2"/>
    <d v="2024-02-08T00:00:00"/>
    <n v="1249.95"/>
    <d v="2026-05-01T00:00:00"/>
    <d v="2026-05-01T08:51:36"/>
    <n v="337"/>
    <d v="2025-01-31T00:00:00"/>
  </r>
  <r>
    <s v="TRX0175"/>
    <d v="2025-03-07T00:00:00"/>
    <s v="CUST030"/>
    <s v="Helen Roberts"/>
    <s v="P009"/>
    <x v="3"/>
    <x v="0"/>
    <n v="5"/>
    <n v="249.99"/>
    <x v="3"/>
    <x v="1"/>
    <x v="0"/>
    <d v="2021-12-10T00:00:00"/>
    <n v="1249.95"/>
    <d v="2026-05-01T00:00:00"/>
    <d v="2026-05-01T08:51:36"/>
    <n v="1183"/>
    <d v="2025-03-31T00:00:00"/>
  </r>
  <r>
    <s v="TRX0242"/>
    <d v="2024-05-04T00:00:00"/>
    <s v="CUST025"/>
    <s v="Mark Carter"/>
    <s v="P007"/>
    <x v="2"/>
    <x v="1"/>
    <n v="4"/>
    <n v="299.99"/>
    <x v="3"/>
    <x v="2"/>
    <x v="1"/>
    <d v="2022-06-04T00:00:00"/>
    <n v="1199.96"/>
    <d v="2026-05-01T00:00:00"/>
    <d v="2026-05-01T08:51:36"/>
    <n v="700"/>
    <d v="2024-05-31T00:00:00"/>
  </r>
  <r>
    <s v="TRX0174"/>
    <d v="2024-10-01T00:00:00"/>
    <s v="CUST003"/>
    <s v="Michael Brown"/>
    <s v="P007"/>
    <x v="2"/>
    <x v="1"/>
    <n v="4"/>
    <n v="299.99"/>
    <x v="3"/>
    <x v="3"/>
    <x v="1"/>
    <d v="2021-09-21T00:00:00"/>
    <n v="1199.96"/>
    <d v="2026-05-01T00:00:00"/>
    <d v="2026-05-01T08:51:36"/>
    <n v="1106"/>
    <d v="2024-10-31T00:00:00"/>
  </r>
  <r>
    <s v="TRX0204"/>
    <d v="2024-05-03T00:00:00"/>
    <s v="CUST044"/>
    <s v="Cynthia Price"/>
    <s v="P009"/>
    <x v="3"/>
    <x v="0"/>
    <n v="4"/>
    <n v="249.99"/>
    <x v="1"/>
    <x v="4"/>
    <x v="0"/>
    <d v="2021-09-29T00:00:00"/>
    <n v="999.96"/>
    <d v="2026-05-01T00:00:00"/>
    <d v="2026-05-01T08:51:36"/>
    <n v="947"/>
    <d v="2024-05-31T00:00:00"/>
  </r>
  <r>
    <s v="TRX0215"/>
    <d v="2024-07-25T00:00:00"/>
    <s v="CUST047"/>
    <s v="Gerald Murphy"/>
    <s v="P009"/>
    <x v="3"/>
    <x v="0"/>
    <n v="4"/>
    <n v="249.99"/>
    <x v="2"/>
    <x v="3"/>
    <x v="0"/>
    <d v="2023-07-20T00:00:00"/>
    <n v="999.96"/>
    <d v="2026-05-01T00:00:00"/>
    <d v="2026-05-01T08:51:36"/>
    <n v="371"/>
    <d v="2024-07-31T00:00:00"/>
  </r>
  <r>
    <s v="TRX0076"/>
    <d v="2024-11-11T00:00:00"/>
    <s v="CUST012"/>
    <s v="Patricia Moore"/>
    <s v="P009"/>
    <x v="3"/>
    <x v="0"/>
    <n v="4"/>
    <n v="249.99"/>
    <x v="0"/>
    <x v="2"/>
    <x v="0"/>
    <d v="2022-04-08T00:00:00"/>
    <n v="999.96"/>
    <d v="2026-05-01T00:00:00"/>
    <d v="2026-05-01T08:51:36"/>
    <n v="948"/>
    <d v="2024-11-30T00:00:00"/>
  </r>
  <r>
    <s v="TRX0137"/>
    <d v="2024-12-03T00:00:00"/>
    <s v="CUST011"/>
    <s v="William White"/>
    <s v="P009"/>
    <x v="3"/>
    <x v="0"/>
    <n v="4"/>
    <n v="249.99"/>
    <x v="1"/>
    <x v="1"/>
    <x v="1"/>
    <d v="2023-06-21T00:00:00"/>
    <n v="999.96"/>
    <d v="2026-05-01T00:00:00"/>
    <d v="2026-05-01T08:51:36"/>
    <n v="531"/>
    <d v="2024-12-31T00:00:00"/>
  </r>
  <r>
    <s v="TRX0087"/>
    <d v="2025-01-14T00:00:00"/>
    <s v="CUST028"/>
    <s v="Betty Campbell"/>
    <s v="P009"/>
    <x v="3"/>
    <x v="0"/>
    <n v="4"/>
    <n v="249.99"/>
    <x v="0"/>
    <x v="4"/>
    <x v="1"/>
    <d v="2021-09-21T00:00:00"/>
    <n v="999.96"/>
    <d v="2026-05-01T00:00:00"/>
    <d v="2026-05-01T08:51:36"/>
    <n v="1211"/>
    <d v="2025-01-31T00:00:00"/>
  </r>
  <r>
    <s v="TRX0159"/>
    <d v="2025-01-26T00:00:00"/>
    <s v="CUST024"/>
    <s v="Dorothy Nelson"/>
    <s v="P009"/>
    <x v="3"/>
    <x v="0"/>
    <n v="4"/>
    <n v="249.99"/>
    <x v="2"/>
    <x v="3"/>
    <x v="1"/>
    <d v="2023-10-18T00:00:00"/>
    <n v="999.96"/>
    <d v="2026-05-01T00:00:00"/>
    <d v="2026-05-01T08:51:36"/>
    <n v="466"/>
    <d v="2025-01-31T00:00:00"/>
  </r>
  <r>
    <s v="TRX0029"/>
    <d v="2024-05-15T00:00:00"/>
    <s v="CUST017"/>
    <s v="Charles Allen"/>
    <s v="P006"/>
    <x v="4"/>
    <x v="1"/>
    <n v="5"/>
    <n v="199.99"/>
    <x v="3"/>
    <x v="0"/>
    <x v="0"/>
    <d v="2021-08-04T00:00:00"/>
    <n v="999.95"/>
    <d v="2026-05-01T00:00:00"/>
    <d v="2026-05-01T08:51:36"/>
    <n v="1015"/>
    <d v="2024-05-31T00:00:00"/>
  </r>
  <r>
    <s v="TRX0027"/>
    <d v="2024-08-15T00:00:00"/>
    <s v="CUST028"/>
    <s v="Betty Campbell"/>
    <s v="P006"/>
    <x v="4"/>
    <x v="1"/>
    <n v="5"/>
    <n v="199.99"/>
    <x v="3"/>
    <x v="4"/>
    <x v="1"/>
    <d v="2023-03-06T00:00:00"/>
    <n v="999.95"/>
    <d v="2026-05-01T00:00:00"/>
    <d v="2026-05-01T08:51:36"/>
    <n v="528"/>
    <d v="2024-08-31T00:00:00"/>
  </r>
  <r>
    <s v="TRX0223"/>
    <d v="2025-01-10T00:00:00"/>
    <s v="CUST036"/>
    <s v="Nancy Collins"/>
    <s v="P006"/>
    <x v="4"/>
    <x v="1"/>
    <n v="5"/>
    <n v="199.99"/>
    <x v="1"/>
    <x v="3"/>
    <x v="0"/>
    <d v="2022-03-13T00:00:00"/>
    <n v="999.95"/>
    <d v="2026-05-01T00:00:00"/>
    <d v="2026-05-01T08:51:36"/>
    <n v="1034"/>
    <d v="2025-01-31T00:00:00"/>
  </r>
  <r>
    <s v="TRX0230"/>
    <d v="2024-04-27T00:00:00"/>
    <s v="CUST027"/>
    <s v="George Adams"/>
    <s v="P001"/>
    <x v="0"/>
    <x v="0"/>
    <n v="1"/>
    <n v="899.99"/>
    <x v="2"/>
    <x v="4"/>
    <x v="0"/>
    <d v="2022-12-25T00:00:00"/>
    <n v="899.99"/>
    <d v="2026-05-01T00:00:00"/>
    <d v="2026-05-01T08:51:36"/>
    <n v="489"/>
    <d v="2024-04-30T00:00:00"/>
  </r>
  <r>
    <s v="TRX0041"/>
    <d v="2024-05-20T00:00:00"/>
    <s v="CUST021"/>
    <s v="Kevin Scott"/>
    <s v="P001"/>
    <x v="0"/>
    <x v="0"/>
    <n v="1"/>
    <n v="899.99"/>
    <x v="0"/>
    <x v="2"/>
    <x v="1"/>
    <d v="2022-01-17T00:00:00"/>
    <n v="899.99"/>
    <d v="2026-05-01T00:00:00"/>
    <d v="2026-05-01T08:51:36"/>
    <n v="854"/>
    <d v="2024-05-31T00:00:00"/>
  </r>
  <r>
    <s v="TRX0162"/>
    <d v="2024-07-23T00:00:00"/>
    <s v="CUST040"/>
    <s v="Sharon Butler"/>
    <s v="P001"/>
    <x v="0"/>
    <x v="0"/>
    <n v="1"/>
    <n v="899.99"/>
    <x v="3"/>
    <x v="3"/>
    <x v="0"/>
    <d v="2023-09-10T00:00:00"/>
    <n v="899.99"/>
    <d v="2026-05-01T00:00:00"/>
    <d v="2026-05-01T08:51:36"/>
    <n v="317"/>
    <d v="2024-07-31T00:00:00"/>
  </r>
  <r>
    <s v="TRX0189"/>
    <d v="2024-10-16T00:00:00"/>
    <s v="CUST040"/>
    <s v="Sharon Butler"/>
    <s v="P001"/>
    <x v="0"/>
    <x v="0"/>
    <n v="1"/>
    <n v="899.99"/>
    <x v="0"/>
    <x v="1"/>
    <x v="0"/>
    <d v="2024-03-18T00:00:00"/>
    <n v="899.99"/>
    <d v="2026-05-01T00:00:00"/>
    <d v="2026-05-01T08:51:36"/>
    <n v="212"/>
    <d v="2024-10-31T00:00:00"/>
  </r>
  <r>
    <s v="TRX0207"/>
    <d v="2024-12-31T00:00:00"/>
    <s v="CUST025"/>
    <s v="Mark Carter"/>
    <s v="P001"/>
    <x v="0"/>
    <x v="0"/>
    <n v="1"/>
    <n v="899.99"/>
    <x v="1"/>
    <x v="4"/>
    <x v="1"/>
    <d v="2023-05-04T00:00:00"/>
    <n v="899.99"/>
    <d v="2026-05-01T00:00:00"/>
    <d v="2026-05-01T08:51:36"/>
    <n v="607"/>
    <d v="2024-12-31T00:00:00"/>
  </r>
  <r>
    <s v="TRX0026"/>
    <d v="2025-01-04T00:00:00"/>
    <s v="CUST037"/>
    <s v="Arthur Edwards"/>
    <s v="P001"/>
    <x v="0"/>
    <x v="0"/>
    <n v="1"/>
    <n v="899.99"/>
    <x v="1"/>
    <x v="4"/>
    <x v="0"/>
    <d v="2022-07-10T00:00:00"/>
    <n v="899.99"/>
    <d v="2026-05-01T00:00:00"/>
    <d v="2026-05-01T08:51:36"/>
    <n v="909"/>
    <d v="2025-01-31T00:00:00"/>
  </r>
  <r>
    <s v="TRX0232"/>
    <d v="2024-05-22T00:00:00"/>
    <s v="CUST012"/>
    <s v="Patricia Moore"/>
    <s v="P007"/>
    <x v="2"/>
    <x v="1"/>
    <n v="3"/>
    <n v="299.99"/>
    <x v="0"/>
    <x v="1"/>
    <x v="2"/>
    <d v="2022-09-20T00:00:00"/>
    <n v="899.97"/>
    <d v="2026-05-01T00:00:00"/>
    <d v="2026-05-01T08:51:36"/>
    <n v="610"/>
    <d v="2024-05-31T00:00:00"/>
  </r>
  <r>
    <s v="TRX0002"/>
    <d v="2024-07-28T00:00:00"/>
    <s v="CUST019"/>
    <s v="Daniel King"/>
    <s v="P007"/>
    <x v="2"/>
    <x v="1"/>
    <n v="3"/>
    <n v="299.99"/>
    <x v="3"/>
    <x v="3"/>
    <x v="2"/>
    <d v="2022-06-20T00:00:00"/>
    <n v="899.97"/>
    <d v="2026-05-01T00:00:00"/>
    <d v="2026-05-01T08:51:36"/>
    <n v="769"/>
    <d v="2024-07-31T00:00:00"/>
  </r>
  <r>
    <s v="TRX0108"/>
    <d v="2024-09-12T00:00:00"/>
    <s v="CUST024"/>
    <s v="Dorothy Nelson"/>
    <s v="P007"/>
    <x v="2"/>
    <x v="1"/>
    <n v="3"/>
    <n v="299.99"/>
    <x v="0"/>
    <x v="3"/>
    <x v="1"/>
    <d v="2021-10-25T00:00:00"/>
    <n v="899.97"/>
    <d v="2026-05-01T00:00:00"/>
    <d v="2026-05-01T08:51:36"/>
    <n v="1053"/>
    <d v="2024-09-30T00:00:00"/>
  </r>
  <r>
    <s v="TRX0085"/>
    <d v="2024-10-11T00:00:00"/>
    <s v="CUST019"/>
    <s v="Daniel King"/>
    <s v="P007"/>
    <x v="2"/>
    <x v="1"/>
    <n v="3"/>
    <n v="299.99"/>
    <x v="0"/>
    <x v="3"/>
    <x v="0"/>
    <d v="2023-09-05T00:00:00"/>
    <n v="899.97"/>
    <d v="2026-05-01T00:00:00"/>
    <d v="2026-05-01T08:51:36"/>
    <n v="402"/>
    <d v="2024-10-31T00:00:00"/>
  </r>
  <r>
    <s v="TRX0017"/>
    <d v="2024-11-04T00:00:00"/>
    <s v="CUST026"/>
    <s v="Karen Hill"/>
    <s v="P007"/>
    <x v="2"/>
    <x v="1"/>
    <n v="3"/>
    <n v="299.99"/>
    <x v="0"/>
    <x v="0"/>
    <x v="0"/>
    <d v="2021-11-02T00:00:00"/>
    <n v="899.97"/>
    <d v="2026-05-01T00:00:00"/>
    <d v="2026-05-01T08:51:36"/>
    <n v="1098"/>
    <d v="2024-11-30T00:00:00"/>
  </r>
  <r>
    <s v="TRX0045"/>
    <d v="2024-12-01T00:00:00"/>
    <s v="CUST021"/>
    <s v="Kevin Scott"/>
    <s v="P007"/>
    <x v="2"/>
    <x v="1"/>
    <n v="3"/>
    <n v="299.99"/>
    <x v="3"/>
    <x v="0"/>
    <x v="1"/>
    <d v="2022-04-08T00:00:00"/>
    <n v="899.97"/>
    <d v="2026-05-01T00:00:00"/>
    <d v="2026-05-01T08:51:36"/>
    <n v="968"/>
    <d v="2024-12-31T00:00:00"/>
  </r>
  <r>
    <s v="TRX0091"/>
    <d v="2025-01-06T00:00:00"/>
    <s v="CUST003"/>
    <s v="Michael Brown"/>
    <s v="P007"/>
    <x v="2"/>
    <x v="1"/>
    <n v="3"/>
    <n v="299.99"/>
    <x v="3"/>
    <x v="0"/>
    <x v="0"/>
    <d v="2021-08-14T00:00:00"/>
    <n v="899.97"/>
    <d v="2026-05-01T00:00:00"/>
    <d v="2026-05-01T08:51:36"/>
    <n v="1241"/>
    <d v="2025-01-31T00:00:00"/>
  </r>
  <r>
    <s v="TRX0051"/>
    <d v="2025-01-14T00:00:00"/>
    <s v="CUST032"/>
    <s v="Sandra Phillips"/>
    <s v="P007"/>
    <x v="2"/>
    <x v="1"/>
    <n v="3"/>
    <n v="299.99"/>
    <x v="0"/>
    <x v="0"/>
    <x v="2"/>
    <d v="2023-10-05T00:00:00"/>
    <n v="899.97"/>
    <d v="2026-05-01T00:00:00"/>
    <d v="2026-05-01T08:51:36"/>
    <n v="467"/>
    <d v="2025-01-31T00:00:00"/>
  </r>
  <r>
    <s v="TRX0178"/>
    <d v="2025-01-29T00:00:00"/>
    <s v="CUST025"/>
    <s v="Mark Carter"/>
    <s v="P007"/>
    <x v="2"/>
    <x v="1"/>
    <n v="3"/>
    <n v="299.99"/>
    <x v="2"/>
    <x v="2"/>
    <x v="0"/>
    <d v="2023-01-26T00:00:00"/>
    <n v="899.97"/>
    <d v="2026-05-01T00:00:00"/>
    <d v="2026-05-01T08:51:36"/>
    <n v="734"/>
    <d v="2025-01-31T00:00:00"/>
  </r>
  <r>
    <s v="TRX0019"/>
    <d v="2025-03-23T00:00:00"/>
    <s v="CUST023"/>
    <s v="Paul Baker"/>
    <s v="P007"/>
    <x v="2"/>
    <x v="1"/>
    <n v="3"/>
    <n v="299.99"/>
    <x v="0"/>
    <x v="2"/>
    <x v="1"/>
    <d v="2023-11-04T00:00:00"/>
    <n v="899.97"/>
    <d v="2026-05-01T00:00:00"/>
    <d v="2026-05-01T08:51:36"/>
    <n v="505"/>
    <d v="2025-03-31T00:00:00"/>
  </r>
  <r>
    <s v="TRX0247"/>
    <d v="2024-08-13T00:00:00"/>
    <s v="CUST046"/>
    <s v="Kathleen Bennett"/>
    <s v="P006"/>
    <x v="4"/>
    <x v="1"/>
    <n v="4"/>
    <n v="199.99"/>
    <x v="3"/>
    <x v="4"/>
    <x v="0"/>
    <d v="2021-09-19T00:00:00"/>
    <n v="799.96"/>
    <d v="2026-05-01T00:00:00"/>
    <d v="2026-05-01T08:51:36"/>
    <n v="1059"/>
    <d v="2024-08-31T00:00:00"/>
  </r>
  <r>
    <s v="TRX0054"/>
    <d v="2024-09-16T00:00:00"/>
    <s v="CUST004"/>
    <s v="Sarah Davis"/>
    <s v="P006"/>
    <x v="4"/>
    <x v="1"/>
    <n v="4"/>
    <n v="199.99"/>
    <x v="2"/>
    <x v="1"/>
    <x v="2"/>
    <d v="2021-09-19T00:00:00"/>
    <n v="799.96"/>
    <d v="2026-05-01T00:00:00"/>
    <d v="2026-05-01T08:51:36"/>
    <n v="1093"/>
    <d v="2024-09-30T00:00:00"/>
  </r>
  <r>
    <s v="TRX0160"/>
    <d v="2024-11-21T00:00:00"/>
    <s v="CUST029"/>
    <s v="Edward Mitchell"/>
    <s v="P006"/>
    <x v="4"/>
    <x v="1"/>
    <n v="4"/>
    <n v="199.99"/>
    <x v="2"/>
    <x v="3"/>
    <x v="1"/>
    <d v="2021-08-19T00:00:00"/>
    <n v="799.96"/>
    <d v="2026-05-01T00:00:00"/>
    <d v="2026-05-01T08:51:36"/>
    <n v="1190"/>
    <d v="2024-11-30T00:00:00"/>
  </r>
  <r>
    <s v="TRX0165"/>
    <d v="2024-12-28T00:00:00"/>
    <s v="CUST030"/>
    <s v="Helen Roberts"/>
    <s v="P006"/>
    <x v="4"/>
    <x v="1"/>
    <n v="4"/>
    <n v="199.99"/>
    <x v="0"/>
    <x v="3"/>
    <x v="2"/>
    <d v="2021-11-23T00:00:00"/>
    <n v="799.96"/>
    <d v="2026-05-01T00:00:00"/>
    <d v="2026-05-01T08:51:36"/>
    <n v="1131"/>
    <d v="2024-12-31T00:00:00"/>
  </r>
  <r>
    <s v="TRX0106"/>
    <d v="2025-01-16T00:00:00"/>
    <s v="CUST039"/>
    <s v="Lawrence Reed"/>
    <s v="P006"/>
    <x v="4"/>
    <x v="1"/>
    <n v="4"/>
    <n v="199.99"/>
    <x v="2"/>
    <x v="0"/>
    <x v="0"/>
    <d v="2021-12-14T00:00:00"/>
    <n v="799.96"/>
    <d v="2026-05-01T00:00:00"/>
    <d v="2026-05-01T08:51:36"/>
    <n v="1129"/>
    <d v="2025-01-31T00:00:00"/>
  </r>
  <r>
    <s v="TRX0155"/>
    <d v="2024-04-11T00:00:00"/>
    <s v="CUST023"/>
    <s v="Paul Baker"/>
    <s v="P009"/>
    <x v="3"/>
    <x v="0"/>
    <n v="3"/>
    <n v="249.99"/>
    <x v="3"/>
    <x v="3"/>
    <x v="2"/>
    <d v="2021-08-17T00:00:00"/>
    <n v="749.97"/>
    <d v="2026-05-01T00:00:00"/>
    <d v="2026-05-01T08:51:36"/>
    <n v="968"/>
    <d v="2024-04-30T00:00:00"/>
  </r>
  <r>
    <s v="TRX0023"/>
    <d v="2024-04-14T00:00:00"/>
    <s v="CUST013"/>
    <s v="Joseph Jackson"/>
    <s v="P009"/>
    <x v="3"/>
    <x v="0"/>
    <n v="3"/>
    <n v="249.99"/>
    <x v="0"/>
    <x v="3"/>
    <x v="1"/>
    <d v="2022-01-14T00:00:00"/>
    <n v="749.97"/>
    <d v="2026-05-01T00:00:00"/>
    <d v="2026-05-01T08:51:36"/>
    <n v="821"/>
    <d v="2024-04-30T00:00:00"/>
  </r>
  <r>
    <s v="TRX0222"/>
    <d v="2024-04-28T00:00:00"/>
    <s v="CUST048"/>
    <s v="Virginia Sanders"/>
    <s v="P009"/>
    <x v="3"/>
    <x v="0"/>
    <n v="3"/>
    <n v="249.99"/>
    <x v="0"/>
    <x v="4"/>
    <x v="1"/>
    <d v="2023-10-25T00:00:00"/>
    <n v="749.97"/>
    <d v="2026-05-01T00:00:00"/>
    <d v="2026-05-01T08:51:36"/>
    <n v="186"/>
    <d v="2024-04-30T00:00:00"/>
  </r>
  <r>
    <s v="TRX0098"/>
    <d v="2024-08-13T00:00:00"/>
    <s v="CUST026"/>
    <s v="Karen Hill"/>
    <s v="P009"/>
    <x v="3"/>
    <x v="0"/>
    <n v="3"/>
    <n v="249.99"/>
    <x v="1"/>
    <x v="4"/>
    <x v="1"/>
    <d v="2021-09-26T00:00:00"/>
    <n v="749.97"/>
    <d v="2026-05-01T00:00:00"/>
    <d v="2026-05-01T08:51:36"/>
    <n v="1052"/>
    <d v="2024-08-31T00:00:00"/>
  </r>
  <r>
    <s v="TRX0212"/>
    <d v="2024-04-18T00:00:00"/>
    <s v="CUST003"/>
    <s v="Michael Brown"/>
    <s v="P008"/>
    <x v="5"/>
    <x v="1"/>
    <n v="5"/>
    <n v="149.99"/>
    <x v="0"/>
    <x v="4"/>
    <x v="1"/>
    <d v="2024-01-04T00:00:00"/>
    <n v="749.95"/>
    <d v="2026-05-01T00:00:00"/>
    <d v="2026-05-01T08:51:36"/>
    <n v="105"/>
    <d v="2024-04-30T00:00:00"/>
  </r>
  <r>
    <s v="TRX0193"/>
    <d v="2024-04-21T00:00:00"/>
    <s v="CUST024"/>
    <s v="Dorothy Nelson"/>
    <s v="P003"/>
    <x v="6"/>
    <x v="0"/>
    <n v="5"/>
    <n v="149.99"/>
    <x v="0"/>
    <x v="3"/>
    <x v="0"/>
    <d v="2021-08-10T00:00:00"/>
    <n v="749.95"/>
    <d v="2026-05-01T00:00:00"/>
    <d v="2026-05-01T08:51:36"/>
    <n v="985"/>
    <d v="2024-04-30T00:00:00"/>
  </r>
  <r>
    <s v="TRX0209"/>
    <d v="2024-04-26T00:00:00"/>
    <s v="CUST046"/>
    <s v="Kathleen Bennett"/>
    <s v="P008"/>
    <x v="5"/>
    <x v="1"/>
    <n v="5"/>
    <n v="149.99"/>
    <x v="2"/>
    <x v="4"/>
    <x v="2"/>
    <d v="2022-09-26T00:00:00"/>
    <n v="749.95"/>
    <d v="2026-05-01T00:00:00"/>
    <d v="2026-05-01T08:51:36"/>
    <n v="578"/>
    <d v="2024-04-30T00:00:00"/>
  </r>
  <r>
    <s v="TRX0236"/>
    <d v="2024-08-22T00:00:00"/>
    <s v="CUST044"/>
    <s v="Cynthia Price"/>
    <s v="P008"/>
    <x v="5"/>
    <x v="1"/>
    <n v="5"/>
    <n v="149.99"/>
    <x v="0"/>
    <x v="3"/>
    <x v="2"/>
    <d v="2024-01-19T00:00:00"/>
    <n v="749.95"/>
    <d v="2026-05-01T00:00:00"/>
    <d v="2026-05-01T08:51:36"/>
    <n v="216"/>
    <d v="2024-08-31T00:00:00"/>
  </r>
  <r>
    <s v="TRX0210"/>
    <d v="2024-11-12T00:00:00"/>
    <s v="CUST004"/>
    <s v="Sarah Davis"/>
    <s v="P008"/>
    <x v="5"/>
    <x v="1"/>
    <n v="5"/>
    <n v="149.99"/>
    <x v="1"/>
    <x v="3"/>
    <x v="2"/>
    <d v="2022-12-06T00:00:00"/>
    <n v="749.95"/>
    <d v="2026-05-01T00:00:00"/>
    <d v="2026-05-01T08:51:36"/>
    <n v="707"/>
    <d v="2024-11-30T00:00:00"/>
  </r>
  <r>
    <s v="TRX0073"/>
    <d v="2024-11-17T00:00:00"/>
    <s v="CUST032"/>
    <s v="Sandra Phillips"/>
    <s v="P008"/>
    <x v="5"/>
    <x v="1"/>
    <n v="5"/>
    <n v="149.99"/>
    <x v="3"/>
    <x v="4"/>
    <x v="2"/>
    <d v="2022-11-04T00:00:00"/>
    <n v="749.95"/>
    <d v="2026-05-01T00:00:00"/>
    <d v="2026-05-01T08:51:36"/>
    <n v="744"/>
    <d v="2024-11-30T00:00:00"/>
  </r>
  <r>
    <s v="TRX0147"/>
    <d v="2024-12-29T00:00:00"/>
    <s v="CUST036"/>
    <s v="Nancy Collins"/>
    <s v="P008"/>
    <x v="5"/>
    <x v="1"/>
    <n v="5"/>
    <n v="149.99"/>
    <x v="3"/>
    <x v="3"/>
    <x v="1"/>
    <d v="2024-02-25T00:00:00"/>
    <n v="749.95"/>
    <d v="2026-05-01T00:00:00"/>
    <d v="2026-05-01T08:51:36"/>
    <n v="308"/>
    <d v="2024-12-31T00:00:00"/>
  </r>
  <r>
    <s v="TRX0237"/>
    <d v="2025-01-06T00:00:00"/>
    <s v="CUST006"/>
    <s v="Lisa Anderson"/>
    <s v="P003"/>
    <x v="6"/>
    <x v="0"/>
    <n v="5"/>
    <n v="149.99"/>
    <x v="1"/>
    <x v="1"/>
    <x v="1"/>
    <d v="2022-09-20T00:00:00"/>
    <n v="749.95"/>
    <d v="2026-05-01T00:00:00"/>
    <d v="2026-05-01T08:51:36"/>
    <n v="839"/>
    <d v="2025-01-31T00:00:00"/>
  </r>
  <r>
    <s v="TRX0058"/>
    <d v="2024-08-28T00:00:00"/>
    <s v="CUST047"/>
    <s v="Gerald Murphy"/>
    <s v="P002"/>
    <x v="1"/>
    <x v="0"/>
    <n v="1"/>
    <n v="699.99"/>
    <x v="3"/>
    <x v="3"/>
    <x v="1"/>
    <d v="2021-10-28T00:00:00"/>
    <n v="699.99"/>
    <d v="2026-05-01T00:00:00"/>
    <d v="2026-05-01T08:51:36"/>
    <n v="1035"/>
    <d v="2024-08-31T00:00:00"/>
  </r>
  <r>
    <s v="TRX0151"/>
    <d v="2025-02-22T00:00:00"/>
    <s v="CUST040"/>
    <s v="Sharon Butler"/>
    <s v="P002"/>
    <x v="1"/>
    <x v="0"/>
    <n v="1"/>
    <n v="699.99"/>
    <x v="1"/>
    <x v="2"/>
    <x v="2"/>
    <d v="2023-01-08T00:00:00"/>
    <n v="699.99"/>
    <d v="2026-05-01T00:00:00"/>
    <d v="2026-05-01T08:51:36"/>
    <n v="776"/>
    <d v="2025-02-28T00:00:00"/>
  </r>
  <r>
    <s v="TRX0047"/>
    <d v="2025-02-23T00:00:00"/>
    <s v="CUST042"/>
    <s v="Ruth Brooks"/>
    <s v="P002"/>
    <x v="1"/>
    <x v="0"/>
    <n v="1"/>
    <n v="699.99"/>
    <x v="3"/>
    <x v="4"/>
    <x v="1"/>
    <d v="2022-01-22T00:00:00"/>
    <n v="699.99"/>
    <d v="2026-05-01T00:00:00"/>
    <d v="2026-05-01T08:51:36"/>
    <n v="1128"/>
    <d v="2025-02-28T00:00:00"/>
  </r>
  <r>
    <s v="TRX0150"/>
    <d v="2024-06-17T00:00:00"/>
    <s v="CUST008"/>
    <s v="Jennifer Taylor"/>
    <s v="P007"/>
    <x v="2"/>
    <x v="1"/>
    <n v="2"/>
    <n v="299.99"/>
    <x v="2"/>
    <x v="1"/>
    <x v="0"/>
    <d v="2023-11-23T00:00:00"/>
    <n v="599.98"/>
    <d v="2026-05-01T00:00:00"/>
    <d v="2026-05-01T08:51:36"/>
    <n v="207"/>
    <d v="2024-06-30T00:00:00"/>
  </r>
  <r>
    <s v="TRX0181"/>
    <d v="2024-09-28T00:00:00"/>
    <s v="CUST012"/>
    <s v="Patricia Moore"/>
    <s v="P007"/>
    <x v="2"/>
    <x v="1"/>
    <n v="2"/>
    <n v="299.99"/>
    <x v="2"/>
    <x v="3"/>
    <x v="2"/>
    <d v="2022-01-08T00:00:00"/>
    <n v="599.98"/>
    <d v="2026-05-01T00:00:00"/>
    <d v="2026-05-01T08:51:36"/>
    <n v="994"/>
    <d v="2024-09-30T00:00:00"/>
  </r>
  <r>
    <s v="TRX0224"/>
    <d v="2024-12-15T00:00:00"/>
    <s v="CUST031"/>
    <s v="Steven Turner"/>
    <s v="P007"/>
    <x v="2"/>
    <x v="1"/>
    <n v="2"/>
    <n v="299.99"/>
    <x v="3"/>
    <x v="1"/>
    <x v="1"/>
    <d v="2022-06-12T00:00:00"/>
    <n v="599.98"/>
    <d v="2026-05-01T00:00:00"/>
    <d v="2026-05-01T08:51:36"/>
    <n v="917"/>
    <d v="2024-12-31T00:00:00"/>
  </r>
  <r>
    <s v="TRX0171"/>
    <d v="2024-12-23T00:00:00"/>
    <s v="CUST021"/>
    <s v="Kevin Scott"/>
    <s v="P007"/>
    <x v="2"/>
    <x v="1"/>
    <n v="2"/>
    <n v="299.99"/>
    <x v="1"/>
    <x v="0"/>
    <x v="2"/>
    <d v="2022-06-09T00:00:00"/>
    <n v="599.98"/>
    <d v="2026-05-01T00:00:00"/>
    <d v="2026-05-01T08:51:36"/>
    <n v="928"/>
    <d v="2024-12-31T00:00:00"/>
  </r>
  <r>
    <s v="TRX0143"/>
    <d v="2024-12-28T00:00:00"/>
    <s v="CUST003"/>
    <s v="Michael Brown"/>
    <s v="P007"/>
    <x v="2"/>
    <x v="1"/>
    <n v="2"/>
    <n v="299.99"/>
    <x v="3"/>
    <x v="2"/>
    <x v="2"/>
    <d v="2022-07-29T00:00:00"/>
    <n v="599.98"/>
    <d v="2026-05-01T00:00:00"/>
    <d v="2026-05-01T08:51:36"/>
    <n v="883"/>
    <d v="2024-12-31T00:00:00"/>
  </r>
  <r>
    <s v="TRX0048"/>
    <d v="2025-02-27T00:00:00"/>
    <s v="CUST048"/>
    <s v="Virginia Sanders"/>
    <s v="P007"/>
    <x v="2"/>
    <x v="1"/>
    <n v="2"/>
    <n v="299.99"/>
    <x v="1"/>
    <x v="0"/>
    <x v="2"/>
    <d v="2022-01-15T00:00:00"/>
    <n v="599.98"/>
    <d v="2026-05-01T00:00:00"/>
    <d v="2026-05-01T08:51:36"/>
    <n v="1139"/>
    <d v="2025-02-28T00:00:00"/>
  </r>
  <r>
    <s v="TRX0245"/>
    <d v="2024-05-26T00:00:00"/>
    <s v="CUST031"/>
    <s v="Steven Turner"/>
    <s v="P006"/>
    <x v="4"/>
    <x v="1"/>
    <n v="3"/>
    <n v="199.99"/>
    <x v="0"/>
    <x v="4"/>
    <x v="1"/>
    <d v="2024-01-01T00:00:00"/>
    <n v="599.97"/>
    <d v="2026-05-01T00:00:00"/>
    <d v="2026-05-01T08:51:36"/>
    <n v="146"/>
    <d v="2024-05-31T00:00:00"/>
  </r>
  <r>
    <s v="TRX0131"/>
    <d v="2024-07-18T00:00:00"/>
    <s v="CUST026"/>
    <s v="Karen Hill"/>
    <s v="P006"/>
    <x v="4"/>
    <x v="1"/>
    <n v="3"/>
    <n v="199.99"/>
    <x v="3"/>
    <x v="4"/>
    <x v="1"/>
    <d v="2023-11-24T00:00:00"/>
    <n v="599.97"/>
    <d v="2026-05-01T00:00:00"/>
    <d v="2026-05-01T08:51:36"/>
    <n v="237"/>
    <d v="2024-07-31T00:00:00"/>
  </r>
  <r>
    <s v="TRX0089"/>
    <d v="2025-02-16T00:00:00"/>
    <s v="CUST021"/>
    <s v="Kevin Scott"/>
    <s v="P006"/>
    <x v="4"/>
    <x v="1"/>
    <n v="3"/>
    <n v="199.99"/>
    <x v="3"/>
    <x v="3"/>
    <x v="2"/>
    <d v="2022-06-23T00:00:00"/>
    <n v="599.97"/>
    <d v="2026-05-01T00:00:00"/>
    <d v="2026-05-01T08:51:36"/>
    <n v="969"/>
    <d v="2025-02-28T00:00:00"/>
  </r>
  <r>
    <s v="TRX0221"/>
    <d v="2025-02-20T00:00:00"/>
    <s v="CUST033"/>
    <s v="Frank Torres"/>
    <s v="P006"/>
    <x v="4"/>
    <x v="1"/>
    <n v="3"/>
    <n v="199.99"/>
    <x v="3"/>
    <x v="2"/>
    <x v="1"/>
    <d v="2022-09-19T00:00:00"/>
    <n v="599.97"/>
    <d v="2026-05-01T00:00:00"/>
    <d v="2026-05-01T08:51:36"/>
    <n v="885"/>
    <d v="2025-02-28T00:00:00"/>
  </r>
  <r>
    <s v="TRX0049"/>
    <d v="2024-04-28T00:00:00"/>
    <s v="CUST025"/>
    <s v="Mark Carter"/>
    <s v="P008"/>
    <x v="5"/>
    <x v="1"/>
    <n v="4"/>
    <n v="149.99"/>
    <x v="2"/>
    <x v="4"/>
    <x v="1"/>
    <d v="2024-03-23T00:00:00"/>
    <n v="599.96"/>
    <d v="2026-05-01T00:00:00"/>
    <d v="2026-05-01T08:51:36"/>
    <n v="36"/>
    <d v="2024-04-30T00:00:00"/>
  </r>
  <r>
    <s v="TRX0020"/>
    <d v="2024-08-13T00:00:00"/>
    <s v="CUST007"/>
    <s v="David Martinez"/>
    <s v="P003"/>
    <x v="6"/>
    <x v="0"/>
    <n v="4"/>
    <n v="149.99"/>
    <x v="2"/>
    <x v="0"/>
    <x v="1"/>
    <d v="2022-09-16T00:00:00"/>
    <n v="599.96"/>
    <d v="2026-05-01T00:00:00"/>
    <d v="2026-05-01T08:51:36"/>
    <n v="697"/>
    <d v="2024-08-31T00:00:00"/>
  </r>
  <r>
    <s v="TRX0005"/>
    <d v="2024-09-15T00:00:00"/>
    <s v="CUST042"/>
    <s v="Ruth Brooks"/>
    <s v="P003"/>
    <x v="6"/>
    <x v="0"/>
    <n v="4"/>
    <n v="149.99"/>
    <x v="3"/>
    <x v="4"/>
    <x v="2"/>
    <d v="2022-12-14T00:00:00"/>
    <n v="599.96"/>
    <d v="2026-05-01T00:00:00"/>
    <d v="2026-05-01T08:51:36"/>
    <n v="641"/>
    <d v="2024-09-30T00:00:00"/>
  </r>
  <r>
    <s v="TRX0203"/>
    <d v="2024-10-07T00:00:00"/>
    <s v="CUST032"/>
    <s v="Sandra Phillips"/>
    <s v="P003"/>
    <x v="6"/>
    <x v="0"/>
    <n v="4"/>
    <n v="149.99"/>
    <x v="0"/>
    <x v="4"/>
    <x v="1"/>
    <d v="2023-05-30T00:00:00"/>
    <n v="599.96"/>
    <d v="2026-05-01T00:00:00"/>
    <d v="2026-05-01T08:51:36"/>
    <n v="496"/>
    <d v="2024-10-31T00:00:00"/>
  </r>
  <r>
    <s v="TRX0084"/>
    <d v="2025-01-11T00:00:00"/>
    <s v="CUST031"/>
    <s v="Steven Turner"/>
    <s v="P003"/>
    <x v="6"/>
    <x v="0"/>
    <n v="4"/>
    <n v="149.99"/>
    <x v="2"/>
    <x v="1"/>
    <x v="0"/>
    <d v="2021-12-06T00:00:00"/>
    <n v="599.96"/>
    <d v="2026-05-01T00:00:00"/>
    <d v="2026-05-01T08:51:36"/>
    <n v="1132"/>
    <d v="2025-01-31T00:00:00"/>
  </r>
  <r>
    <s v="TRX0200"/>
    <d v="2025-02-23T00:00:00"/>
    <s v="CUST037"/>
    <s v="Arthur Edwards"/>
    <s v="P008"/>
    <x v="5"/>
    <x v="1"/>
    <n v="4"/>
    <n v="149.99"/>
    <x v="1"/>
    <x v="4"/>
    <x v="1"/>
    <d v="2021-08-04T00:00:00"/>
    <n v="599.96"/>
    <d v="2026-05-01T00:00:00"/>
    <d v="2026-05-01T08:51:36"/>
    <n v="1299"/>
    <d v="2025-02-28T00:00:00"/>
  </r>
  <r>
    <s v="TRX0199"/>
    <d v="2025-03-08T00:00:00"/>
    <s v="CUST017"/>
    <s v="Charles Allen"/>
    <s v="P008"/>
    <x v="5"/>
    <x v="1"/>
    <n v="4"/>
    <n v="149.99"/>
    <x v="3"/>
    <x v="3"/>
    <x v="0"/>
    <d v="2023-12-03T00:00:00"/>
    <n v="599.96"/>
    <d v="2026-05-01T00:00:00"/>
    <d v="2026-05-01T08:51:36"/>
    <n v="461"/>
    <d v="2025-03-31T00:00:00"/>
  </r>
  <r>
    <s v="TRX0050"/>
    <d v="2025-03-24T00:00:00"/>
    <s v="CUST001"/>
    <s v="John Smith"/>
    <s v="P008"/>
    <x v="5"/>
    <x v="1"/>
    <n v="4"/>
    <n v="149.99"/>
    <x v="1"/>
    <x v="2"/>
    <x v="0"/>
    <d v="2021-12-30T00:00:00"/>
    <n v="599.96"/>
    <d v="2026-05-01T00:00:00"/>
    <d v="2026-05-01T08:51:36"/>
    <n v="1180"/>
    <d v="2025-03-31T00:00:00"/>
  </r>
  <r>
    <s v="TRX0080"/>
    <d v="2024-07-27T00:00:00"/>
    <s v="CUST018"/>
    <s v="Barbara Young"/>
    <s v="P009"/>
    <x v="3"/>
    <x v="0"/>
    <n v="2"/>
    <n v="249.99"/>
    <x v="3"/>
    <x v="4"/>
    <x v="1"/>
    <d v="2023-08-26T00:00:00"/>
    <n v="499.98"/>
    <d v="2026-05-01T00:00:00"/>
    <d v="2026-05-01T08:51:36"/>
    <n v="336"/>
    <d v="2024-07-31T00:00:00"/>
  </r>
  <r>
    <s v="TRX0037"/>
    <d v="2024-08-24T00:00:00"/>
    <s v="CUST035"/>
    <s v="Harry Morgan"/>
    <s v="P009"/>
    <x v="3"/>
    <x v="0"/>
    <n v="2"/>
    <n v="249.99"/>
    <x v="3"/>
    <x v="0"/>
    <x v="0"/>
    <d v="2022-01-11T00:00:00"/>
    <n v="499.98"/>
    <d v="2026-05-01T00:00:00"/>
    <d v="2026-05-01T08:51:36"/>
    <n v="956"/>
    <d v="2024-08-31T00:00:00"/>
  </r>
  <r>
    <s v="TRX0195"/>
    <d v="2024-09-16T00:00:00"/>
    <s v="CUST026"/>
    <s v="Karen Hill"/>
    <s v="P009"/>
    <x v="3"/>
    <x v="0"/>
    <n v="2"/>
    <n v="249.99"/>
    <x v="1"/>
    <x v="0"/>
    <x v="2"/>
    <d v="2023-03-08T00:00:00"/>
    <n v="499.98"/>
    <d v="2026-05-01T00:00:00"/>
    <d v="2026-05-01T08:51:36"/>
    <n v="558"/>
    <d v="2024-09-30T00:00:00"/>
  </r>
  <r>
    <s v="TRX0180"/>
    <d v="2024-12-09T00:00:00"/>
    <s v="CUST036"/>
    <s v="Nancy Collins"/>
    <s v="P009"/>
    <x v="3"/>
    <x v="0"/>
    <n v="2"/>
    <n v="249.99"/>
    <x v="0"/>
    <x v="3"/>
    <x v="1"/>
    <d v="2021-07-19T00:00:00"/>
    <n v="499.98"/>
    <d v="2026-05-01T00:00:00"/>
    <d v="2026-05-01T08:51:36"/>
    <n v="1239"/>
    <d v="2024-12-31T00:00:00"/>
  </r>
  <r>
    <s v="TRX0246"/>
    <d v="2024-04-26T00:00:00"/>
    <s v="CUST041"/>
    <s v="Peter Richardson"/>
    <s v="P008"/>
    <x v="5"/>
    <x v="1"/>
    <n v="3"/>
    <n v="149.99"/>
    <x v="3"/>
    <x v="4"/>
    <x v="1"/>
    <d v="2022-09-02T00:00:00"/>
    <n v="449.97"/>
    <d v="2026-05-01T00:00:00"/>
    <d v="2026-05-01T08:51:36"/>
    <n v="602"/>
    <d v="2024-04-30T00:00:00"/>
  </r>
  <r>
    <s v="TRX0130"/>
    <d v="2024-05-18T00:00:00"/>
    <s v="CUST002"/>
    <s v="Emma Wilson"/>
    <s v="P008"/>
    <x v="5"/>
    <x v="1"/>
    <n v="3"/>
    <n v="149.99"/>
    <x v="0"/>
    <x v="2"/>
    <x v="1"/>
    <d v="2023-05-22T00:00:00"/>
    <n v="449.97"/>
    <d v="2026-05-01T00:00:00"/>
    <d v="2026-05-01T08:51:36"/>
    <n v="362"/>
    <d v="2024-05-31T00:00:00"/>
  </r>
  <r>
    <s v="TRX0216"/>
    <d v="2024-07-17T00:00:00"/>
    <s v="CUST041"/>
    <s v="Peter Richardson"/>
    <s v="P008"/>
    <x v="5"/>
    <x v="1"/>
    <n v="3"/>
    <n v="149.99"/>
    <x v="3"/>
    <x v="3"/>
    <x v="1"/>
    <d v="2023-09-30T00:00:00"/>
    <n v="449.97"/>
    <d v="2026-05-01T00:00:00"/>
    <d v="2026-05-01T08:51:36"/>
    <n v="291"/>
    <d v="2024-07-31T00:00:00"/>
  </r>
  <r>
    <s v="TRX0031"/>
    <d v="2024-08-19T00:00:00"/>
    <s v="CUST036"/>
    <s v="Nancy Collins"/>
    <s v="P003"/>
    <x v="6"/>
    <x v="0"/>
    <n v="3"/>
    <n v="149.99"/>
    <x v="1"/>
    <x v="1"/>
    <x v="2"/>
    <d v="2022-01-13T00:00:00"/>
    <n v="449.97"/>
    <d v="2026-05-01T00:00:00"/>
    <d v="2026-05-01T08:51:36"/>
    <n v="949"/>
    <d v="2024-08-31T00:00:00"/>
  </r>
  <r>
    <s v="TRX0170"/>
    <d v="2024-08-28T00:00:00"/>
    <s v="CUST034"/>
    <s v="Carol Evans"/>
    <s v="P003"/>
    <x v="6"/>
    <x v="0"/>
    <n v="3"/>
    <n v="149.99"/>
    <x v="3"/>
    <x v="2"/>
    <x v="1"/>
    <d v="2023-10-13T00:00:00"/>
    <n v="449.97"/>
    <d v="2026-05-01T00:00:00"/>
    <d v="2026-05-01T08:51:36"/>
    <n v="320"/>
    <d v="2024-08-31T00:00:00"/>
  </r>
  <r>
    <s v="TRX0119"/>
    <d v="2024-09-25T00:00:00"/>
    <s v="CUST014"/>
    <s v="Linda Martin"/>
    <s v="P008"/>
    <x v="5"/>
    <x v="1"/>
    <n v="3"/>
    <n v="149.99"/>
    <x v="1"/>
    <x v="1"/>
    <x v="2"/>
    <d v="2022-11-21T00:00:00"/>
    <n v="449.97"/>
    <d v="2026-05-01T00:00:00"/>
    <d v="2026-05-01T08:51:36"/>
    <n v="674"/>
    <d v="2024-09-30T00:00:00"/>
  </r>
  <r>
    <s v="TRX0218"/>
    <d v="2024-10-08T00:00:00"/>
    <s v="CUST034"/>
    <s v="Carol Evans"/>
    <s v="P008"/>
    <x v="5"/>
    <x v="1"/>
    <n v="3"/>
    <n v="149.99"/>
    <x v="0"/>
    <x v="0"/>
    <x v="0"/>
    <d v="2023-01-14T00:00:00"/>
    <n v="449.97"/>
    <d v="2026-05-01T00:00:00"/>
    <d v="2026-05-01T08:51:36"/>
    <n v="633"/>
    <d v="2024-10-31T00:00:00"/>
  </r>
  <r>
    <s v="TRX0035"/>
    <d v="2024-11-11T00:00:00"/>
    <s v="CUST041"/>
    <s v="Peter Richardson"/>
    <s v="P003"/>
    <x v="6"/>
    <x v="0"/>
    <n v="3"/>
    <n v="149.99"/>
    <x v="3"/>
    <x v="4"/>
    <x v="2"/>
    <d v="2022-07-27T00:00:00"/>
    <n v="449.97"/>
    <d v="2026-05-01T00:00:00"/>
    <d v="2026-05-01T08:51:36"/>
    <n v="838"/>
    <d v="2024-11-30T00:00:00"/>
  </r>
  <r>
    <s v="TRX0008"/>
    <d v="2024-12-22T00:00:00"/>
    <s v="CUST007"/>
    <s v="David Martinez"/>
    <s v="P008"/>
    <x v="5"/>
    <x v="1"/>
    <n v="3"/>
    <n v="149.99"/>
    <x v="2"/>
    <x v="4"/>
    <x v="0"/>
    <d v="2021-11-22T00:00:00"/>
    <n v="449.97"/>
    <d v="2026-05-01T00:00:00"/>
    <d v="2026-05-01T08:51:36"/>
    <n v="1126"/>
    <d v="2024-12-31T00:00:00"/>
  </r>
  <r>
    <s v="TRX0072"/>
    <d v="2025-01-16T00:00:00"/>
    <s v="CUST009"/>
    <s v="Robert Thomas"/>
    <s v="P008"/>
    <x v="5"/>
    <x v="1"/>
    <n v="3"/>
    <n v="149.99"/>
    <x v="0"/>
    <x v="1"/>
    <x v="0"/>
    <d v="2021-07-18T00:00:00"/>
    <n v="449.97"/>
    <d v="2026-05-01T00:00:00"/>
    <d v="2026-05-01T08:51:36"/>
    <n v="1278"/>
    <d v="2025-01-31T00:00:00"/>
  </r>
  <r>
    <s v="TRX0024"/>
    <d v="2025-02-07T00:00:00"/>
    <s v="CUST042"/>
    <s v="Ruth Brooks"/>
    <s v="P008"/>
    <x v="5"/>
    <x v="1"/>
    <n v="3"/>
    <n v="149.99"/>
    <x v="2"/>
    <x v="4"/>
    <x v="1"/>
    <d v="2022-01-03T00:00:00"/>
    <n v="449.97"/>
    <d v="2026-05-01T00:00:00"/>
    <d v="2026-05-01T08:51:36"/>
    <n v="1131"/>
    <d v="2025-02-28T00:00:00"/>
  </r>
  <r>
    <s v="TRX0168"/>
    <d v="2025-02-19T00:00:00"/>
    <s v="CUST003"/>
    <s v="Michael Brown"/>
    <s v="P008"/>
    <x v="5"/>
    <x v="1"/>
    <n v="3"/>
    <n v="149.99"/>
    <x v="1"/>
    <x v="3"/>
    <x v="0"/>
    <d v="2022-03-13T00:00:00"/>
    <n v="449.97"/>
    <d v="2026-05-01T00:00:00"/>
    <d v="2026-05-01T08:51:36"/>
    <n v="1074"/>
    <d v="2025-02-28T00:00:00"/>
  </r>
  <r>
    <s v="TRX0197"/>
    <d v="2025-03-30T00:00:00"/>
    <s v="CUST048"/>
    <s v="Virginia Sanders"/>
    <s v="P008"/>
    <x v="5"/>
    <x v="1"/>
    <n v="3"/>
    <n v="149.99"/>
    <x v="1"/>
    <x v="3"/>
    <x v="0"/>
    <d v="2023-09-02T00:00:00"/>
    <n v="449.97"/>
    <d v="2026-05-01T00:00:00"/>
    <d v="2026-05-01T08:51:36"/>
    <n v="575"/>
    <d v="2025-03-31T00:00:00"/>
  </r>
  <r>
    <s v="TRX0004"/>
    <d v="2024-05-12T00:00:00"/>
    <s v="CUST012"/>
    <s v="Patricia Moore"/>
    <s v="P010"/>
    <x v="7"/>
    <x v="0"/>
    <n v="5"/>
    <n v="89.99"/>
    <x v="3"/>
    <x v="4"/>
    <x v="1"/>
    <d v="2022-12-24T00:00:00"/>
    <n v="449.95"/>
    <d v="2026-05-01T00:00:00"/>
    <d v="2026-05-01T08:51:36"/>
    <n v="505"/>
    <d v="2024-05-31T00:00:00"/>
  </r>
  <r>
    <s v="TRX0208"/>
    <d v="2024-06-03T00:00:00"/>
    <s v="CUST004"/>
    <s v="Sarah Davis"/>
    <s v="P010"/>
    <x v="7"/>
    <x v="0"/>
    <n v="5"/>
    <n v="89.99"/>
    <x v="0"/>
    <x v="1"/>
    <x v="0"/>
    <d v="2022-01-26T00:00:00"/>
    <n v="449.95"/>
    <d v="2026-05-01T00:00:00"/>
    <d v="2026-05-01T08:51:36"/>
    <n v="859"/>
    <d v="2024-06-30T00:00:00"/>
  </r>
  <r>
    <s v="TRX0088"/>
    <d v="2024-06-13T00:00:00"/>
    <s v="CUST006"/>
    <s v="Lisa Anderson"/>
    <s v="P010"/>
    <x v="7"/>
    <x v="0"/>
    <n v="5"/>
    <n v="89.99"/>
    <x v="3"/>
    <x v="3"/>
    <x v="1"/>
    <d v="2022-01-18T00:00:00"/>
    <n v="449.95"/>
    <d v="2026-05-01T00:00:00"/>
    <d v="2026-05-01T08:51:36"/>
    <n v="877"/>
    <d v="2024-06-30T00:00:00"/>
  </r>
  <r>
    <s v="TRX0114"/>
    <d v="2024-07-08T00:00:00"/>
    <s v="CUST018"/>
    <s v="Barbara Young"/>
    <s v="P010"/>
    <x v="7"/>
    <x v="0"/>
    <n v="5"/>
    <n v="89.99"/>
    <x v="2"/>
    <x v="4"/>
    <x v="1"/>
    <d v="2023-08-23T00:00:00"/>
    <n v="449.95"/>
    <d v="2026-05-01T00:00:00"/>
    <d v="2026-05-01T08:51:36"/>
    <n v="320"/>
    <d v="2024-07-31T00:00:00"/>
  </r>
  <r>
    <s v="TRX0077"/>
    <d v="2024-09-19T00:00:00"/>
    <s v="CUST019"/>
    <s v="Daniel King"/>
    <s v="P010"/>
    <x v="7"/>
    <x v="0"/>
    <n v="5"/>
    <n v="89.99"/>
    <x v="0"/>
    <x v="1"/>
    <x v="1"/>
    <d v="2021-09-07T00:00:00"/>
    <n v="449.95"/>
    <d v="2026-05-01T00:00:00"/>
    <d v="2026-05-01T08:51:36"/>
    <n v="1108"/>
    <d v="2024-09-30T00:00:00"/>
  </r>
  <r>
    <s v="TRX0062"/>
    <d v="2025-02-23T00:00:00"/>
    <s v="CUST016"/>
    <s v="Elizabeth Hall"/>
    <s v="P010"/>
    <x v="7"/>
    <x v="0"/>
    <n v="5"/>
    <n v="89.99"/>
    <x v="1"/>
    <x v="2"/>
    <x v="1"/>
    <d v="2023-08-02T00:00:00"/>
    <n v="449.95"/>
    <d v="2026-05-01T00:00:00"/>
    <d v="2026-05-01T08:51:36"/>
    <n v="571"/>
    <d v="2025-02-28T00:00:00"/>
  </r>
  <r>
    <s v="TRX0213"/>
    <d v="2025-03-29T00:00:00"/>
    <s v="CUST020"/>
    <s v="Margaret Wright"/>
    <s v="P010"/>
    <x v="7"/>
    <x v="0"/>
    <n v="5"/>
    <n v="89.99"/>
    <x v="1"/>
    <x v="0"/>
    <x v="2"/>
    <d v="2022-05-23T00:00:00"/>
    <n v="449.95"/>
    <d v="2026-05-01T00:00:00"/>
    <d v="2026-05-01T08:51:36"/>
    <n v="1041"/>
    <d v="2025-03-31T00:00:00"/>
  </r>
  <r>
    <s v="TRX0097"/>
    <d v="2024-07-14T00:00:00"/>
    <s v="CUST033"/>
    <s v="Frank Torres"/>
    <s v="P006"/>
    <x v="4"/>
    <x v="1"/>
    <n v="2"/>
    <n v="199.99"/>
    <x v="3"/>
    <x v="4"/>
    <x v="2"/>
    <d v="2021-12-11T00:00:00"/>
    <n v="399.98"/>
    <d v="2026-05-01T00:00:00"/>
    <d v="2026-05-01T08:51:36"/>
    <n v="946"/>
    <d v="2024-07-31T00:00:00"/>
  </r>
  <r>
    <s v="TRX0182"/>
    <d v="2025-02-24T00:00:00"/>
    <s v="CUST031"/>
    <s v="Steven Turner"/>
    <s v="P006"/>
    <x v="4"/>
    <x v="1"/>
    <n v="2"/>
    <n v="199.99"/>
    <x v="3"/>
    <x v="3"/>
    <x v="1"/>
    <d v="2022-01-12T00:00:00"/>
    <n v="399.98"/>
    <d v="2026-05-01T00:00:00"/>
    <d v="2026-05-01T08:51:36"/>
    <n v="1139"/>
    <d v="2025-02-28T00:00:00"/>
  </r>
  <r>
    <s v="TRX0070"/>
    <d v="2024-07-03T00:00:00"/>
    <s v="CUST007"/>
    <s v="David Martinez"/>
    <s v="P004"/>
    <x v="8"/>
    <x v="2"/>
    <n v="5"/>
    <n v="79.989999999999995"/>
    <x v="2"/>
    <x v="3"/>
    <x v="2"/>
    <d v="2023-02-24T00:00:00"/>
    <n v="399.95"/>
    <d v="2026-05-01T00:00:00"/>
    <d v="2026-05-01T08:51:36"/>
    <n v="495"/>
    <d v="2024-07-31T00:00:00"/>
  </r>
  <r>
    <s v="TRX0025"/>
    <d v="2024-06-25T00:00:00"/>
    <s v="CUST049"/>
    <s v="Raymond Ross"/>
    <s v="P010"/>
    <x v="7"/>
    <x v="0"/>
    <n v="4"/>
    <n v="89.99"/>
    <x v="2"/>
    <x v="0"/>
    <x v="2"/>
    <d v="2023-12-21T00:00:00"/>
    <n v="359.96"/>
    <d v="2026-05-01T00:00:00"/>
    <d v="2026-05-01T08:51:36"/>
    <n v="187"/>
    <d v="2024-06-30T00:00:00"/>
  </r>
  <r>
    <s v="TRX0112"/>
    <d v="2024-09-09T00:00:00"/>
    <s v="CUST008"/>
    <s v="Jennifer Taylor"/>
    <s v="P004"/>
    <x v="8"/>
    <x v="2"/>
    <n v="4"/>
    <n v="79.989999999999995"/>
    <x v="3"/>
    <x v="4"/>
    <x v="2"/>
    <d v="2021-11-30T00:00:00"/>
    <n v="319.95999999999998"/>
    <d v="2026-05-01T00:00:00"/>
    <d v="2026-05-01T08:51:36"/>
    <n v="1014"/>
    <d v="2024-09-30T00:00:00"/>
  </r>
  <r>
    <s v="TRX0036"/>
    <d v="2024-12-09T00:00:00"/>
    <s v="CUST008"/>
    <s v="Jennifer Taylor"/>
    <s v="P004"/>
    <x v="8"/>
    <x v="2"/>
    <n v="4"/>
    <n v="79.989999999999995"/>
    <x v="2"/>
    <x v="1"/>
    <x v="0"/>
    <d v="2022-12-26T00:00:00"/>
    <n v="319.95999999999998"/>
    <d v="2026-05-01T00:00:00"/>
    <d v="2026-05-01T08:51:36"/>
    <n v="714"/>
    <d v="2024-12-31T00:00:00"/>
  </r>
  <r>
    <s v="TRX0152"/>
    <d v="2025-03-27T00:00:00"/>
    <s v="CUST044"/>
    <s v="Cynthia Price"/>
    <s v="P004"/>
    <x v="8"/>
    <x v="2"/>
    <n v="4"/>
    <n v="79.989999999999995"/>
    <x v="0"/>
    <x v="3"/>
    <x v="2"/>
    <d v="2023-12-28T00:00:00"/>
    <n v="319.95999999999998"/>
    <d v="2026-05-01T00:00:00"/>
    <d v="2026-05-01T08:51:36"/>
    <n v="455"/>
    <d v="2025-03-31T00:00:00"/>
  </r>
  <r>
    <s v="TRX0141"/>
    <d v="2024-07-11T00:00:00"/>
    <s v="CUST033"/>
    <s v="Frank Torres"/>
    <s v="P007"/>
    <x v="2"/>
    <x v="1"/>
    <n v="1"/>
    <n v="299.99"/>
    <x v="0"/>
    <x v="4"/>
    <x v="1"/>
    <d v="2022-11-26T00:00:00"/>
    <n v="299.99"/>
    <d v="2026-05-01T00:00:00"/>
    <d v="2026-05-01T08:51:36"/>
    <n v="593"/>
    <d v="2024-07-31T00:00:00"/>
  </r>
  <r>
    <s v="TRX0228"/>
    <d v="2024-07-27T00:00:00"/>
    <s v="CUST019"/>
    <s v="Daniel King"/>
    <s v="P007"/>
    <x v="2"/>
    <x v="1"/>
    <n v="1"/>
    <n v="299.99"/>
    <x v="3"/>
    <x v="0"/>
    <x v="2"/>
    <d v="2023-02-25T00:00:00"/>
    <n v="299.99"/>
    <d v="2026-05-01T00:00:00"/>
    <d v="2026-05-01T08:51:36"/>
    <n v="518"/>
    <d v="2024-07-31T00:00:00"/>
  </r>
  <r>
    <s v="TRX0022"/>
    <d v="2025-01-13T00:00:00"/>
    <s v="CUST025"/>
    <s v="Mark Carter"/>
    <s v="P007"/>
    <x v="2"/>
    <x v="1"/>
    <n v="1"/>
    <n v="299.99"/>
    <x v="0"/>
    <x v="4"/>
    <x v="2"/>
    <d v="2021-08-28T00:00:00"/>
    <n v="299.99"/>
    <d v="2026-05-01T00:00:00"/>
    <d v="2026-05-01T08:51:36"/>
    <n v="1234"/>
    <d v="2025-01-31T00:00:00"/>
  </r>
  <r>
    <s v="TRX0194"/>
    <d v="2024-05-16T00:00:00"/>
    <s v="CUST006"/>
    <s v="Lisa Anderson"/>
    <s v="P008"/>
    <x v="5"/>
    <x v="1"/>
    <n v="2"/>
    <n v="149.99"/>
    <x v="0"/>
    <x v="2"/>
    <x v="2"/>
    <d v="2022-09-19T00:00:00"/>
    <n v="299.98"/>
    <d v="2026-05-01T00:00:00"/>
    <d v="2026-05-01T08:51:36"/>
    <n v="605"/>
    <d v="2024-05-31T00:00:00"/>
  </r>
  <r>
    <s v="TRX0220"/>
    <d v="2024-06-07T00:00:00"/>
    <s v="CUST003"/>
    <s v="Michael Brown"/>
    <s v="P008"/>
    <x v="5"/>
    <x v="1"/>
    <n v="2"/>
    <n v="149.99"/>
    <x v="3"/>
    <x v="1"/>
    <x v="1"/>
    <d v="2022-03-25T00:00:00"/>
    <n v="299.98"/>
    <d v="2026-05-01T00:00:00"/>
    <d v="2026-05-01T08:51:36"/>
    <n v="805"/>
    <d v="2024-06-30T00:00:00"/>
  </r>
  <r>
    <s v="TRX0065"/>
    <d v="2024-08-05T00:00:00"/>
    <s v="CUST016"/>
    <s v="Elizabeth Hall"/>
    <s v="P008"/>
    <x v="5"/>
    <x v="1"/>
    <n v="2"/>
    <n v="149.99"/>
    <x v="0"/>
    <x v="2"/>
    <x v="2"/>
    <d v="2021-12-12T00:00:00"/>
    <n v="299.98"/>
    <d v="2026-05-01T00:00:00"/>
    <d v="2026-05-01T08:51:36"/>
    <n v="967"/>
    <d v="2024-08-31T00:00:00"/>
  </r>
  <r>
    <s v="TRX0176"/>
    <d v="2024-08-06T00:00:00"/>
    <s v="CUST044"/>
    <s v="Cynthia Price"/>
    <s v="P008"/>
    <x v="5"/>
    <x v="1"/>
    <n v="2"/>
    <n v="149.99"/>
    <x v="2"/>
    <x v="1"/>
    <x v="0"/>
    <d v="2022-04-16T00:00:00"/>
    <n v="299.98"/>
    <d v="2026-05-01T00:00:00"/>
    <d v="2026-05-01T08:51:36"/>
    <n v="843"/>
    <d v="2024-08-31T00:00:00"/>
  </r>
  <r>
    <s v="TRX0190"/>
    <d v="2024-10-18T00:00:00"/>
    <s v="CUST039"/>
    <s v="Lawrence Reed"/>
    <s v="P003"/>
    <x v="6"/>
    <x v="0"/>
    <n v="2"/>
    <n v="149.99"/>
    <x v="0"/>
    <x v="2"/>
    <x v="2"/>
    <d v="2022-12-21T00:00:00"/>
    <n v="299.98"/>
    <d v="2026-05-01T00:00:00"/>
    <d v="2026-05-01T08:51:36"/>
    <n v="667"/>
    <d v="2024-10-31T00:00:00"/>
  </r>
  <r>
    <s v="TRX0095"/>
    <d v="2024-10-23T00:00:00"/>
    <s v="CUST046"/>
    <s v="Kathleen Bennett"/>
    <s v="P003"/>
    <x v="6"/>
    <x v="0"/>
    <n v="2"/>
    <n v="149.99"/>
    <x v="1"/>
    <x v="3"/>
    <x v="2"/>
    <d v="2021-10-04T00:00:00"/>
    <n v="299.98"/>
    <d v="2026-05-01T00:00:00"/>
    <d v="2026-05-01T08:51:36"/>
    <n v="1115"/>
    <d v="2024-10-31T00:00:00"/>
  </r>
  <r>
    <s v="TRX0109"/>
    <d v="2024-11-08T00:00:00"/>
    <s v="CUST010"/>
    <s v="Maria Garcia"/>
    <s v="P008"/>
    <x v="5"/>
    <x v="1"/>
    <n v="2"/>
    <n v="149.99"/>
    <x v="0"/>
    <x v="2"/>
    <x v="1"/>
    <d v="2022-10-14T00:00:00"/>
    <n v="299.98"/>
    <d v="2026-05-01T00:00:00"/>
    <d v="2026-05-01T08:51:36"/>
    <n v="756"/>
    <d v="2024-11-30T00:00:00"/>
  </r>
  <r>
    <s v="TRX0206"/>
    <d v="2024-11-27T00:00:00"/>
    <s v="CUST014"/>
    <s v="Linda Martin"/>
    <s v="P008"/>
    <x v="5"/>
    <x v="1"/>
    <n v="2"/>
    <n v="149.99"/>
    <x v="3"/>
    <x v="0"/>
    <x v="0"/>
    <d v="2023-06-24T00:00:00"/>
    <n v="299.98"/>
    <d v="2026-05-01T00:00:00"/>
    <d v="2026-05-01T08:51:36"/>
    <n v="522"/>
    <d v="2024-11-30T00:00:00"/>
  </r>
  <r>
    <s v="TRX0133"/>
    <d v="2024-12-01T00:00:00"/>
    <s v="CUST013"/>
    <s v="Joseph Jackson"/>
    <s v="P003"/>
    <x v="6"/>
    <x v="0"/>
    <n v="2"/>
    <n v="149.99"/>
    <x v="3"/>
    <x v="0"/>
    <x v="1"/>
    <d v="2021-10-06T00:00:00"/>
    <n v="299.98"/>
    <d v="2026-05-01T00:00:00"/>
    <d v="2026-05-01T08:51:36"/>
    <n v="1152"/>
    <d v="2024-12-31T00:00:00"/>
  </r>
  <r>
    <s v="TRX0046"/>
    <d v="2024-12-20T00:00:00"/>
    <s v="CUST003"/>
    <s v="Michael Brown"/>
    <s v="P008"/>
    <x v="5"/>
    <x v="1"/>
    <n v="2"/>
    <n v="149.99"/>
    <x v="3"/>
    <x v="0"/>
    <x v="2"/>
    <d v="2023-11-09T00:00:00"/>
    <n v="299.98"/>
    <d v="2026-05-01T00:00:00"/>
    <d v="2026-05-01T08:51:36"/>
    <n v="407"/>
    <d v="2024-12-31T00:00:00"/>
  </r>
  <r>
    <s v="TRX0164"/>
    <d v="2024-12-22T00:00:00"/>
    <s v="CUST014"/>
    <s v="Linda Martin"/>
    <s v="P003"/>
    <x v="6"/>
    <x v="0"/>
    <n v="2"/>
    <n v="149.99"/>
    <x v="2"/>
    <x v="2"/>
    <x v="1"/>
    <d v="2023-12-20T00:00:00"/>
    <n v="299.98"/>
    <d v="2026-05-01T00:00:00"/>
    <d v="2026-05-01T08:51:36"/>
    <n v="368"/>
    <d v="2024-12-31T00:00:00"/>
  </r>
  <r>
    <s v="TRX0107"/>
    <d v="2025-01-14T00:00:00"/>
    <s v="CUST030"/>
    <s v="Helen Roberts"/>
    <s v="P003"/>
    <x v="6"/>
    <x v="0"/>
    <n v="2"/>
    <n v="149.99"/>
    <x v="3"/>
    <x v="4"/>
    <x v="0"/>
    <d v="2022-12-18T00:00:00"/>
    <n v="299.98"/>
    <d v="2026-05-01T00:00:00"/>
    <d v="2026-05-01T08:51:36"/>
    <n v="758"/>
    <d v="2025-01-31T00:00:00"/>
  </r>
  <r>
    <s v="TRX0118"/>
    <d v="2025-02-17T00:00:00"/>
    <s v="CUST015"/>
    <s v="Richard Lee"/>
    <s v="P008"/>
    <x v="5"/>
    <x v="1"/>
    <n v="2"/>
    <n v="149.99"/>
    <x v="3"/>
    <x v="0"/>
    <x v="1"/>
    <d v="2022-06-16T00:00:00"/>
    <n v="299.98"/>
    <d v="2026-05-01T00:00:00"/>
    <d v="2026-05-01T08:51:36"/>
    <n v="977"/>
    <d v="2025-02-28T00:00:00"/>
  </r>
  <r>
    <s v="TRX0227"/>
    <d v="2025-03-02T00:00:00"/>
    <s v="CUST017"/>
    <s v="Charles Allen"/>
    <s v="P008"/>
    <x v="5"/>
    <x v="1"/>
    <n v="2"/>
    <n v="149.99"/>
    <x v="3"/>
    <x v="3"/>
    <x v="2"/>
    <d v="2023-05-22T00:00:00"/>
    <n v="299.98"/>
    <d v="2026-05-01T00:00:00"/>
    <d v="2026-05-01T08:51:36"/>
    <n v="650"/>
    <d v="2025-03-31T00:00:00"/>
  </r>
  <r>
    <s v="TRX0186"/>
    <d v="2025-03-08T00:00:00"/>
    <s v="CUST039"/>
    <s v="Lawrence Reed"/>
    <s v="P008"/>
    <x v="5"/>
    <x v="1"/>
    <n v="2"/>
    <n v="149.99"/>
    <x v="1"/>
    <x v="3"/>
    <x v="1"/>
    <d v="2022-03-12T00:00:00"/>
    <n v="299.98"/>
    <d v="2026-05-01T00:00:00"/>
    <d v="2026-05-01T08:51:36"/>
    <n v="1092"/>
    <d v="2025-03-31T00:00:00"/>
  </r>
  <r>
    <s v="TRX0003"/>
    <d v="2025-03-21T00:00:00"/>
    <s v="CUST002"/>
    <s v="Emma Wilson"/>
    <s v="P008"/>
    <x v="5"/>
    <x v="1"/>
    <n v="2"/>
    <n v="149.99"/>
    <x v="3"/>
    <x v="2"/>
    <x v="1"/>
    <d v="2023-11-03T00:00:00"/>
    <n v="299.98"/>
    <d v="2026-05-01T00:00:00"/>
    <d v="2026-05-01T08:51:36"/>
    <n v="504"/>
    <d v="2025-03-31T00:00:00"/>
  </r>
  <r>
    <s v="TRX0172"/>
    <d v="2024-11-11T00:00:00"/>
    <s v="CUST023"/>
    <s v="Paul Baker"/>
    <s v="P005"/>
    <x v="9"/>
    <x v="2"/>
    <n v="5"/>
    <n v="59.99"/>
    <x v="1"/>
    <x v="2"/>
    <x v="1"/>
    <d v="2022-05-13T00:00:00"/>
    <n v="299.95"/>
    <d v="2026-05-01T00:00:00"/>
    <d v="2026-05-01T08:51:36"/>
    <n v="913"/>
    <d v="2024-11-30T00:00:00"/>
  </r>
  <r>
    <s v="TRX0110"/>
    <d v="2025-01-19T00:00:00"/>
    <s v="CUST006"/>
    <s v="Lisa Anderson"/>
    <s v="P005"/>
    <x v="9"/>
    <x v="2"/>
    <n v="5"/>
    <n v="59.99"/>
    <x v="2"/>
    <x v="1"/>
    <x v="2"/>
    <d v="2022-03-22T00:00:00"/>
    <n v="299.95"/>
    <d v="2026-05-01T00:00:00"/>
    <d v="2026-05-01T08:51:36"/>
    <n v="1034"/>
    <d v="2025-01-31T00:00:00"/>
  </r>
  <r>
    <s v="TRX0011"/>
    <d v="2025-02-08T00:00:00"/>
    <s v="CUST040"/>
    <s v="Sharon Butler"/>
    <s v="P005"/>
    <x v="9"/>
    <x v="2"/>
    <n v="5"/>
    <n v="59.99"/>
    <x v="2"/>
    <x v="3"/>
    <x v="0"/>
    <d v="2023-09-08T00:00:00"/>
    <n v="299.95"/>
    <d v="2026-05-01T00:00:00"/>
    <d v="2026-05-01T08:51:36"/>
    <n v="519"/>
    <d v="2025-02-28T00:00:00"/>
  </r>
  <r>
    <s v="TRX0053"/>
    <d v="2025-03-05T00:00:00"/>
    <s v="CUST043"/>
    <s v="Dennis Gray"/>
    <s v="P005"/>
    <x v="9"/>
    <x v="2"/>
    <n v="5"/>
    <n v="59.99"/>
    <x v="3"/>
    <x v="2"/>
    <x v="1"/>
    <d v="2023-12-31T00:00:00"/>
    <n v="299.95"/>
    <d v="2026-05-01T00:00:00"/>
    <d v="2026-05-01T08:51:36"/>
    <n v="430"/>
    <d v="2025-03-31T00:00:00"/>
  </r>
  <r>
    <s v="TRX0202"/>
    <d v="2024-05-29T00:00:00"/>
    <s v="CUST035"/>
    <s v="Harry Morgan"/>
    <s v="P010"/>
    <x v="7"/>
    <x v="0"/>
    <n v="3"/>
    <n v="89.99"/>
    <x v="1"/>
    <x v="3"/>
    <x v="1"/>
    <d v="2023-07-13T00:00:00"/>
    <n v="269.96999999999997"/>
    <d v="2026-05-01T00:00:00"/>
    <d v="2026-05-01T08:51:36"/>
    <n v="321"/>
    <d v="2024-05-31T00:00:00"/>
  </r>
  <r>
    <s v="TRX0079"/>
    <d v="2024-10-21T00:00:00"/>
    <s v="CUST039"/>
    <s v="Lawrence Reed"/>
    <s v="P010"/>
    <x v="7"/>
    <x v="0"/>
    <n v="3"/>
    <n v="89.99"/>
    <x v="1"/>
    <x v="3"/>
    <x v="2"/>
    <d v="2021-12-21T00:00:00"/>
    <n v="269.96999999999997"/>
    <d v="2026-05-01T00:00:00"/>
    <d v="2026-05-01T08:51:36"/>
    <n v="1035"/>
    <d v="2024-10-31T00:00:00"/>
  </r>
  <r>
    <s v="TRX0153"/>
    <d v="2024-10-27T00:00:00"/>
    <s v="CUST049"/>
    <s v="Raymond Ross"/>
    <s v="P010"/>
    <x v="7"/>
    <x v="0"/>
    <n v="3"/>
    <n v="89.99"/>
    <x v="0"/>
    <x v="4"/>
    <x v="0"/>
    <d v="2022-02-23T00:00:00"/>
    <n v="269.96999999999997"/>
    <d v="2026-05-01T00:00:00"/>
    <d v="2026-05-01T08:51:36"/>
    <n v="977"/>
    <d v="2024-10-31T00:00:00"/>
  </r>
  <r>
    <s v="TRX0060"/>
    <d v="2024-11-07T00:00:00"/>
    <s v="CUST012"/>
    <s v="Patricia Moore"/>
    <s v="P010"/>
    <x v="7"/>
    <x v="0"/>
    <n v="3"/>
    <n v="89.99"/>
    <x v="0"/>
    <x v="4"/>
    <x v="1"/>
    <d v="2021-08-12T00:00:00"/>
    <n v="269.96999999999997"/>
    <d v="2026-05-01T00:00:00"/>
    <d v="2026-05-01T08:51:36"/>
    <n v="1183"/>
    <d v="2024-11-30T00:00:00"/>
  </r>
  <r>
    <s v="TRX0166"/>
    <d v="2025-01-31T00:00:00"/>
    <s v="CUST003"/>
    <s v="Michael Brown"/>
    <s v="P010"/>
    <x v="7"/>
    <x v="0"/>
    <n v="3"/>
    <n v="89.99"/>
    <x v="2"/>
    <x v="0"/>
    <x v="1"/>
    <d v="2024-01-16T00:00:00"/>
    <n v="269.96999999999997"/>
    <d v="2026-05-01T00:00:00"/>
    <d v="2026-05-01T08:51:36"/>
    <n v="381"/>
    <d v="2025-01-31T00:00:00"/>
  </r>
  <r>
    <s v="TRX0064"/>
    <d v="2025-04-11T00:00:00"/>
    <s v="CUST031"/>
    <s v="Steven Turner"/>
    <s v="P010"/>
    <x v="7"/>
    <x v="0"/>
    <n v="3"/>
    <n v="89.99"/>
    <x v="2"/>
    <x v="4"/>
    <x v="1"/>
    <d v="2022-11-13T00:00:00"/>
    <n v="269.96999999999997"/>
    <d v="2026-05-01T00:00:00"/>
    <d v="2026-05-01T08:51:36"/>
    <n v="880"/>
    <d v="2025-04-30T00:00:00"/>
  </r>
  <r>
    <s v="TRX0099"/>
    <d v="2024-09-02T00:00:00"/>
    <s v="CUST034"/>
    <s v="Carol Evans"/>
    <s v="P009"/>
    <x v="3"/>
    <x v="0"/>
    <n v="1"/>
    <n v="249.99"/>
    <x v="0"/>
    <x v="2"/>
    <x v="1"/>
    <d v="2022-05-04T00:00:00"/>
    <n v="249.99"/>
    <d v="2026-05-01T00:00:00"/>
    <d v="2026-05-01T08:51:36"/>
    <n v="852"/>
    <d v="2024-09-30T00:00:00"/>
  </r>
  <r>
    <s v="TRX0074"/>
    <d v="2024-09-02T00:00:00"/>
    <s v="CUST023"/>
    <s v="Paul Baker"/>
    <s v="P009"/>
    <x v="3"/>
    <x v="0"/>
    <n v="1"/>
    <n v="249.99"/>
    <x v="2"/>
    <x v="4"/>
    <x v="1"/>
    <d v="2024-02-10T00:00:00"/>
    <n v="249.99"/>
    <d v="2026-05-01T00:00:00"/>
    <d v="2026-05-01T08:51:36"/>
    <n v="205"/>
    <d v="2024-09-30T00:00:00"/>
  </r>
  <r>
    <s v="TRX0090"/>
    <d v="2024-11-09T00:00:00"/>
    <s v="CUST020"/>
    <s v="Margaret Wright"/>
    <s v="P009"/>
    <x v="3"/>
    <x v="0"/>
    <n v="1"/>
    <n v="249.99"/>
    <x v="0"/>
    <x v="4"/>
    <x v="1"/>
    <d v="2022-09-24T00:00:00"/>
    <n v="249.99"/>
    <d v="2026-05-01T00:00:00"/>
    <d v="2026-05-01T08:51:36"/>
    <n v="777"/>
    <d v="2024-11-30T00:00:00"/>
  </r>
  <r>
    <s v="TRX0038"/>
    <d v="2025-03-10T00:00:00"/>
    <s v="CUST035"/>
    <s v="Harry Morgan"/>
    <s v="P009"/>
    <x v="3"/>
    <x v="0"/>
    <n v="1"/>
    <n v="249.99"/>
    <x v="3"/>
    <x v="4"/>
    <x v="0"/>
    <d v="2023-07-10T00:00:00"/>
    <n v="249.99"/>
    <d v="2026-05-01T00:00:00"/>
    <d v="2026-05-01T08:51:36"/>
    <n v="609"/>
    <d v="2025-03-31T00:00:00"/>
  </r>
  <r>
    <s v="TRX0235"/>
    <d v="2024-05-12T00:00:00"/>
    <s v="CUST014"/>
    <s v="Linda Martin"/>
    <s v="P004"/>
    <x v="8"/>
    <x v="2"/>
    <n v="3"/>
    <n v="79.989999999999995"/>
    <x v="1"/>
    <x v="1"/>
    <x v="1"/>
    <d v="2023-03-27T00:00:00"/>
    <n v="239.96999999999997"/>
    <d v="2026-05-01T00:00:00"/>
    <d v="2026-05-01T08:51:36"/>
    <n v="412"/>
    <d v="2024-05-31T00:00:00"/>
  </r>
  <r>
    <s v="TRX0021"/>
    <d v="2024-05-23T00:00:00"/>
    <s v="CUST006"/>
    <s v="Lisa Anderson"/>
    <s v="P004"/>
    <x v="8"/>
    <x v="2"/>
    <n v="3"/>
    <n v="79.989999999999995"/>
    <x v="3"/>
    <x v="0"/>
    <x v="2"/>
    <d v="2023-04-30T00:00:00"/>
    <n v="239.96999999999997"/>
    <d v="2026-05-01T00:00:00"/>
    <d v="2026-05-01T08:51:36"/>
    <n v="389"/>
    <d v="2024-05-31T00:00:00"/>
  </r>
  <r>
    <s v="TRX0001"/>
    <d v="2024-08-24T00:00:00"/>
    <s v="CUST039"/>
    <s v="Lawrence Reed"/>
    <s v="P004"/>
    <x v="8"/>
    <x v="2"/>
    <n v="3"/>
    <n v="79.989999999999995"/>
    <x v="3"/>
    <x v="3"/>
    <x v="1"/>
    <d v="2022-08-06T00:00:00"/>
    <n v="239.96999999999997"/>
    <d v="2026-05-01T00:00:00"/>
    <d v="2026-05-01T08:51:36"/>
    <n v="749"/>
    <d v="2024-08-31T00:00:00"/>
  </r>
  <r>
    <s v="TRX0198"/>
    <d v="2024-12-10T00:00:00"/>
    <s v="CUST030"/>
    <s v="Helen Roberts"/>
    <s v="P004"/>
    <x v="8"/>
    <x v="2"/>
    <n v="3"/>
    <n v="79.989999999999995"/>
    <x v="2"/>
    <x v="1"/>
    <x v="0"/>
    <d v="2022-08-06T00:00:00"/>
    <n v="239.96999999999997"/>
    <d v="2026-05-01T00:00:00"/>
    <d v="2026-05-01T08:51:36"/>
    <n v="857"/>
    <d v="2024-12-31T00:00:00"/>
  </r>
  <r>
    <s v="TRX0187"/>
    <d v="2025-02-13T00:00:00"/>
    <s v="CUST036"/>
    <s v="Nancy Collins"/>
    <s v="P004"/>
    <x v="8"/>
    <x v="2"/>
    <n v="3"/>
    <n v="79.989999999999995"/>
    <x v="3"/>
    <x v="1"/>
    <x v="1"/>
    <d v="2021-08-28T00:00:00"/>
    <n v="239.96999999999997"/>
    <d v="2026-05-01T00:00:00"/>
    <d v="2026-05-01T08:51:36"/>
    <n v="1265"/>
    <d v="2025-02-28T00:00:00"/>
  </r>
  <r>
    <s v="TRX0039"/>
    <d v="2025-04-08T00:00:00"/>
    <s v="CUST048"/>
    <s v="Virginia Sanders"/>
    <s v="P004"/>
    <x v="8"/>
    <x v="2"/>
    <n v="3"/>
    <n v="79.989999999999995"/>
    <x v="0"/>
    <x v="4"/>
    <x v="2"/>
    <d v="2021-11-11T00:00:00"/>
    <n v="239.96999999999997"/>
    <d v="2026-05-01T00:00:00"/>
    <d v="2026-05-01T08:51:36"/>
    <n v="1244"/>
    <d v="2025-04-30T00:00:00"/>
  </r>
  <r>
    <s v="TRX0241"/>
    <d v="2024-05-15T00:00:00"/>
    <s v="CUST029"/>
    <s v="Edward Mitchell"/>
    <s v="P005"/>
    <x v="9"/>
    <x v="2"/>
    <n v="4"/>
    <n v="59.99"/>
    <x v="2"/>
    <x v="1"/>
    <x v="0"/>
    <d v="2022-11-02T00:00:00"/>
    <n v="239.96"/>
    <d v="2026-05-01T00:00:00"/>
    <d v="2026-05-01T08:51:36"/>
    <n v="560"/>
    <d v="2024-05-31T00:00:00"/>
  </r>
  <r>
    <s v="TRX0093"/>
    <d v="2024-06-09T00:00:00"/>
    <s v="CUST050"/>
    <s v="Julie Foster"/>
    <s v="P005"/>
    <x v="9"/>
    <x v="2"/>
    <n v="4"/>
    <n v="59.99"/>
    <x v="3"/>
    <x v="1"/>
    <x v="0"/>
    <d v="2021-08-27T00:00:00"/>
    <n v="239.96"/>
    <d v="2026-05-01T00:00:00"/>
    <d v="2026-05-01T08:51:36"/>
    <n v="1017"/>
    <d v="2024-06-30T00:00:00"/>
  </r>
  <r>
    <s v="TRX0136"/>
    <d v="2024-07-09T00:00:00"/>
    <s v="CUST049"/>
    <s v="Raymond Ross"/>
    <s v="P005"/>
    <x v="9"/>
    <x v="2"/>
    <n v="4"/>
    <n v="59.99"/>
    <x v="3"/>
    <x v="0"/>
    <x v="0"/>
    <d v="2021-11-09T00:00:00"/>
    <n v="239.96"/>
    <d v="2026-05-01T00:00:00"/>
    <d v="2026-05-01T08:51:36"/>
    <n v="973"/>
    <d v="2024-07-31T00:00:00"/>
  </r>
  <r>
    <s v="TRX0126"/>
    <d v="2025-01-25T00:00:00"/>
    <s v="CUST022"/>
    <s v="Susan Green"/>
    <s v="P005"/>
    <x v="9"/>
    <x v="2"/>
    <n v="4"/>
    <n v="59.99"/>
    <x v="2"/>
    <x v="1"/>
    <x v="0"/>
    <d v="2022-01-03T00:00:00"/>
    <n v="239.96"/>
    <d v="2026-05-01T00:00:00"/>
    <d v="2026-05-01T08:51:36"/>
    <n v="1118"/>
    <d v="2025-01-31T00:00:00"/>
  </r>
  <r>
    <s v="TRX0229"/>
    <d v="2025-02-27T00:00:00"/>
    <s v="CUST015"/>
    <s v="Richard Lee"/>
    <s v="P005"/>
    <x v="9"/>
    <x v="2"/>
    <n v="4"/>
    <n v="59.99"/>
    <x v="3"/>
    <x v="2"/>
    <x v="0"/>
    <d v="2023-05-24T00:00:00"/>
    <n v="239.96"/>
    <d v="2026-05-01T00:00:00"/>
    <d v="2026-05-01T08:51:36"/>
    <n v="645"/>
    <d v="2025-02-28T00:00:00"/>
  </r>
  <r>
    <s v="TRX0129"/>
    <d v="2024-09-29T00:00:00"/>
    <s v="CUST015"/>
    <s v="Richard Lee"/>
    <s v="P006"/>
    <x v="4"/>
    <x v="1"/>
    <n v="1"/>
    <n v="199.99"/>
    <x v="2"/>
    <x v="1"/>
    <x v="0"/>
    <d v="2023-01-27T00:00:00"/>
    <n v="199.99"/>
    <d v="2026-05-01T00:00:00"/>
    <d v="2026-05-01T08:51:36"/>
    <n v="611"/>
    <d v="2024-09-30T00:00:00"/>
  </r>
  <r>
    <s v="TRX0115"/>
    <d v="2024-06-16T00:00:00"/>
    <s v="CUST012"/>
    <s v="Patricia Moore"/>
    <s v="P010"/>
    <x v="7"/>
    <x v="0"/>
    <n v="2"/>
    <n v="89.99"/>
    <x v="0"/>
    <x v="0"/>
    <x v="1"/>
    <d v="2021-10-02T00:00:00"/>
    <n v="179.98"/>
    <d v="2026-05-01T00:00:00"/>
    <d v="2026-05-01T08:51:36"/>
    <n v="988"/>
    <d v="2024-06-30T00:00:00"/>
  </r>
  <r>
    <s v="TRX0007"/>
    <d v="2024-06-26T00:00:00"/>
    <s v="CUST009"/>
    <s v="Robert Thomas"/>
    <s v="P010"/>
    <x v="7"/>
    <x v="0"/>
    <n v="2"/>
    <n v="89.99"/>
    <x v="3"/>
    <x v="2"/>
    <x v="2"/>
    <d v="2021-08-30T00:00:00"/>
    <n v="179.98"/>
    <d v="2026-05-01T00:00:00"/>
    <d v="2026-05-01T08:51:36"/>
    <n v="1031"/>
    <d v="2024-06-30T00:00:00"/>
  </r>
  <r>
    <s v="TRX0096"/>
    <d v="2024-07-01T00:00:00"/>
    <s v="CUST002"/>
    <s v="Emma Wilson"/>
    <s v="P010"/>
    <x v="7"/>
    <x v="0"/>
    <n v="2"/>
    <n v="89.99"/>
    <x v="1"/>
    <x v="3"/>
    <x v="1"/>
    <d v="2023-12-15T00:00:00"/>
    <n v="179.98"/>
    <d v="2026-05-01T00:00:00"/>
    <d v="2026-05-01T08:51:36"/>
    <n v="199"/>
    <d v="2024-07-31T00:00:00"/>
  </r>
  <r>
    <s v="TRX0157"/>
    <d v="2024-07-28T00:00:00"/>
    <s v="CUST025"/>
    <s v="Mark Carter"/>
    <s v="P010"/>
    <x v="7"/>
    <x v="0"/>
    <n v="2"/>
    <n v="89.99"/>
    <x v="1"/>
    <x v="0"/>
    <x v="2"/>
    <d v="2023-02-19T00:00:00"/>
    <n v="179.98"/>
    <d v="2026-05-01T00:00:00"/>
    <d v="2026-05-01T08:51:36"/>
    <n v="525"/>
    <d v="2024-07-31T00:00:00"/>
  </r>
  <r>
    <s v="TRX0140"/>
    <d v="2024-08-18T00:00:00"/>
    <s v="CUST025"/>
    <s v="Mark Carter"/>
    <s v="P010"/>
    <x v="7"/>
    <x v="0"/>
    <n v="2"/>
    <n v="89.99"/>
    <x v="3"/>
    <x v="1"/>
    <x v="1"/>
    <d v="2023-02-15T00:00:00"/>
    <n v="179.98"/>
    <d v="2026-05-01T00:00:00"/>
    <d v="2026-05-01T08:51:36"/>
    <n v="550"/>
    <d v="2024-08-31T00:00:00"/>
  </r>
  <r>
    <s v="TRX0211"/>
    <d v="2024-09-13T00:00:00"/>
    <s v="CUST046"/>
    <s v="Kathleen Bennett"/>
    <s v="P010"/>
    <x v="7"/>
    <x v="0"/>
    <n v="2"/>
    <n v="89.99"/>
    <x v="0"/>
    <x v="0"/>
    <x v="1"/>
    <d v="2022-03-21T00:00:00"/>
    <n v="179.98"/>
    <d v="2026-05-01T00:00:00"/>
    <d v="2026-05-01T08:51:36"/>
    <n v="907"/>
    <d v="2024-09-30T00:00:00"/>
  </r>
  <r>
    <s v="TRX0056"/>
    <d v="2025-01-03T00:00:00"/>
    <s v="CUST019"/>
    <s v="Daniel King"/>
    <s v="P010"/>
    <x v="7"/>
    <x v="0"/>
    <n v="2"/>
    <n v="89.99"/>
    <x v="0"/>
    <x v="0"/>
    <x v="1"/>
    <d v="2022-01-03T00:00:00"/>
    <n v="179.98"/>
    <d v="2026-05-01T00:00:00"/>
    <d v="2026-05-01T08:51:36"/>
    <n v="1096"/>
    <d v="2025-01-31T00:00:00"/>
  </r>
  <r>
    <s v="TRX0069"/>
    <d v="2025-01-31T00:00:00"/>
    <s v="CUST029"/>
    <s v="Edward Mitchell"/>
    <s v="P010"/>
    <x v="7"/>
    <x v="0"/>
    <n v="2"/>
    <n v="89.99"/>
    <x v="2"/>
    <x v="0"/>
    <x v="2"/>
    <d v="2022-08-04T00:00:00"/>
    <n v="179.98"/>
    <d v="2026-05-01T00:00:00"/>
    <d v="2026-05-01T08:51:36"/>
    <n v="911"/>
    <d v="2025-01-31T00:00:00"/>
  </r>
  <r>
    <s v="TRX0196"/>
    <d v="2025-02-16T00:00:00"/>
    <s v="CUST023"/>
    <s v="Paul Baker"/>
    <s v="P010"/>
    <x v="7"/>
    <x v="0"/>
    <n v="2"/>
    <n v="89.99"/>
    <x v="1"/>
    <x v="3"/>
    <x v="2"/>
    <d v="2023-11-27T00:00:00"/>
    <n v="179.98"/>
    <d v="2026-05-01T00:00:00"/>
    <d v="2026-05-01T08:51:36"/>
    <n v="447"/>
    <d v="2025-02-28T00:00:00"/>
  </r>
  <r>
    <s v="TRX0233"/>
    <d v="2025-03-07T00:00:00"/>
    <s v="CUST023"/>
    <s v="Paul Baker"/>
    <s v="P010"/>
    <x v="7"/>
    <x v="0"/>
    <n v="2"/>
    <n v="89.99"/>
    <x v="0"/>
    <x v="2"/>
    <x v="1"/>
    <d v="2024-01-04T00:00:00"/>
    <n v="179.98"/>
    <d v="2026-05-01T00:00:00"/>
    <d v="2026-05-01T08:51:36"/>
    <n v="428"/>
    <d v="2025-03-31T00:00:00"/>
  </r>
  <r>
    <s v="TRX0250"/>
    <d v="2025-03-30T00:00:00"/>
    <s v="CUST026"/>
    <s v="Karen Hill"/>
    <s v="P010"/>
    <x v="7"/>
    <x v="0"/>
    <n v="2"/>
    <n v="89.99"/>
    <x v="2"/>
    <x v="2"/>
    <x v="1"/>
    <d v="2021-11-22T00:00:00"/>
    <n v="179.98"/>
    <d v="2026-05-01T00:00:00"/>
    <d v="2026-05-01T08:51:36"/>
    <n v="1224"/>
    <d v="2025-03-31T00:00:00"/>
  </r>
  <r>
    <s v="TRX0103"/>
    <d v="2025-04-11T00:00:00"/>
    <s v="CUST039"/>
    <s v="Lawrence Reed"/>
    <s v="P010"/>
    <x v="7"/>
    <x v="0"/>
    <n v="2"/>
    <n v="89.99"/>
    <x v="2"/>
    <x v="1"/>
    <x v="2"/>
    <d v="2023-06-11T00:00:00"/>
    <n v="179.98"/>
    <d v="2026-05-01T00:00:00"/>
    <d v="2026-05-01T08:51:36"/>
    <n v="670"/>
    <d v="2025-04-30T00:00:00"/>
  </r>
  <r>
    <s v="TRX0139"/>
    <d v="2024-04-17T00:00:00"/>
    <s v="CUST021"/>
    <s v="Kevin Scott"/>
    <s v="P005"/>
    <x v="9"/>
    <x v="2"/>
    <n v="3"/>
    <n v="59.99"/>
    <x v="1"/>
    <x v="0"/>
    <x v="0"/>
    <d v="2023-12-02T00:00:00"/>
    <n v="179.97"/>
    <d v="2026-05-01T00:00:00"/>
    <d v="2026-05-01T08:51:36"/>
    <n v="137"/>
    <d v="2024-04-30T00:00:00"/>
  </r>
  <r>
    <s v="TRX0043"/>
    <d v="2024-04-18T00:00:00"/>
    <s v="CUST046"/>
    <s v="Kathleen Bennett"/>
    <s v="P005"/>
    <x v="9"/>
    <x v="2"/>
    <n v="3"/>
    <n v="59.99"/>
    <x v="3"/>
    <x v="4"/>
    <x v="1"/>
    <d v="2023-07-07T00:00:00"/>
    <n v="179.97"/>
    <d v="2026-05-01T00:00:00"/>
    <d v="2026-05-01T08:51:36"/>
    <n v="286"/>
    <d v="2024-04-30T00:00:00"/>
  </r>
  <r>
    <s v="TRX0240"/>
    <d v="2024-04-21T00:00:00"/>
    <s v="CUST017"/>
    <s v="Charles Allen"/>
    <s v="P005"/>
    <x v="9"/>
    <x v="2"/>
    <n v="3"/>
    <n v="59.99"/>
    <x v="2"/>
    <x v="0"/>
    <x v="2"/>
    <d v="2023-03-22T00:00:00"/>
    <n v="179.97"/>
    <d v="2026-05-01T00:00:00"/>
    <d v="2026-05-01T08:51:36"/>
    <n v="396"/>
    <d v="2024-04-30T00:00:00"/>
  </r>
  <r>
    <s v="TRX0185"/>
    <d v="2024-04-26T00:00:00"/>
    <s v="CUST026"/>
    <s v="Karen Hill"/>
    <s v="P005"/>
    <x v="9"/>
    <x v="2"/>
    <n v="3"/>
    <n v="59.99"/>
    <x v="3"/>
    <x v="2"/>
    <x v="1"/>
    <d v="2023-10-08T00:00:00"/>
    <n v="179.97"/>
    <d v="2026-05-01T00:00:00"/>
    <d v="2026-05-01T08:51:36"/>
    <n v="201"/>
    <d v="2024-04-30T00:00:00"/>
  </r>
  <r>
    <s v="TRX0067"/>
    <d v="2024-04-27T00:00:00"/>
    <s v="CUST043"/>
    <s v="Dennis Gray"/>
    <s v="P005"/>
    <x v="9"/>
    <x v="2"/>
    <n v="3"/>
    <n v="59.99"/>
    <x v="0"/>
    <x v="4"/>
    <x v="0"/>
    <d v="2024-02-29T00:00:00"/>
    <n v="179.97"/>
    <d v="2026-05-01T00:00:00"/>
    <d v="2026-05-01T08:51:36"/>
    <n v="58"/>
    <d v="2024-04-30T00:00:00"/>
  </r>
  <r>
    <s v="TRX0169"/>
    <d v="2024-07-17T00:00:00"/>
    <s v="CUST047"/>
    <s v="Gerald Murphy"/>
    <s v="P005"/>
    <x v="9"/>
    <x v="2"/>
    <n v="3"/>
    <n v="59.99"/>
    <x v="0"/>
    <x v="2"/>
    <x v="2"/>
    <d v="2023-07-23T00:00:00"/>
    <n v="179.97"/>
    <d v="2026-05-01T00:00:00"/>
    <d v="2026-05-01T08:51:36"/>
    <n v="360"/>
    <d v="2024-07-31T00:00:00"/>
  </r>
  <r>
    <s v="TRX0100"/>
    <d v="2024-09-06T00:00:00"/>
    <s v="CUST031"/>
    <s v="Steven Turner"/>
    <s v="P005"/>
    <x v="9"/>
    <x v="2"/>
    <n v="3"/>
    <n v="59.99"/>
    <x v="0"/>
    <x v="3"/>
    <x v="1"/>
    <d v="2022-06-05T00:00:00"/>
    <n v="179.97"/>
    <d v="2026-05-01T00:00:00"/>
    <d v="2026-05-01T08:51:36"/>
    <n v="824"/>
    <d v="2024-09-30T00:00:00"/>
  </r>
  <r>
    <s v="TRX0142"/>
    <d v="2024-09-09T00:00:00"/>
    <s v="CUST002"/>
    <s v="Emma Wilson"/>
    <s v="P005"/>
    <x v="9"/>
    <x v="2"/>
    <n v="3"/>
    <n v="59.99"/>
    <x v="1"/>
    <x v="1"/>
    <x v="0"/>
    <d v="2022-07-06T00:00:00"/>
    <n v="179.97"/>
    <d v="2026-05-01T00:00:00"/>
    <d v="2026-05-01T08:51:36"/>
    <n v="796"/>
    <d v="2024-09-30T00:00:00"/>
  </r>
  <r>
    <s v="TRX0149"/>
    <d v="2024-11-12T00:00:00"/>
    <s v="CUST027"/>
    <s v="George Adams"/>
    <s v="P005"/>
    <x v="9"/>
    <x v="2"/>
    <n v="3"/>
    <n v="59.99"/>
    <x v="2"/>
    <x v="0"/>
    <x v="0"/>
    <d v="2023-11-30T00:00:00"/>
    <n v="179.97"/>
    <d v="2026-05-01T00:00:00"/>
    <d v="2026-05-01T08:51:36"/>
    <n v="348"/>
    <d v="2024-11-30T00:00:00"/>
  </r>
  <r>
    <s v="TRX0082"/>
    <d v="2024-12-09T00:00:00"/>
    <s v="CUST005"/>
    <s v="James Johnson"/>
    <s v="P005"/>
    <x v="9"/>
    <x v="2"/>
    <n v="3"/>
    <n v="59.99"/>
    <x v="3"/>
    <x v="3"/>
    <x v="1"/>
    <d v="2023-05-06T00:00:00"/>
    <n v="179.97"/>
    <d v="2026-05-01T00:00:00"/>
    <d v="2026-05-01T08:51:36"/>
    <n v="583"/>
    <d v="2024-12-31T00:00:00"/>
  </r>
  <r>
    <s v="TRX0138"/>
    <d v="2024-04-26T00:00:00"/>
    <s v="CUST022"/>
    <s v="Susan Green"/>
    <s v="P008"/>
    <x v="5"/>
    <x v="1"/>
    <n v="1"/>
    <n v="149.99"/>
    <x v="0"/>
    <x v="2"/>
    <x v="0"/>
    <d v="2023-06-26T00:00:00"/>
    <n v="149.99"/>
    <d v="2026-05-01T00:00:00"/>
    <d v="2026-05-01T08:51:36"/>
    <n v="305"/>
    <d v="2024-04-30T00:00:00"/>
  </r>
  <r>
    <s v="TRX0127"/>
    <d v="2024-06-29T00:00:00"/>
    <s v="CUST030"/>
    <s v="Helen Roberts"/>
    <s v="P008"/>
    <x v="5"/>
    <x v="1"/>
    <n v="1"/>
    <n v="149.99"/>
    <x v="1"/>
    <x v="1"/>
    <x v="2"/>
    <d v="2022-10-17T00:00:00"/>
    <n v="149.99"/>
    <d v="2026-05-01T00:00:00"/>
    <d v="2026-05-01T08:51:36"/>
    <n v="621"/>
    <d v="2024-06-30T00:00:00"/>
  </r>
  <r>
    <s v="TRX0086"/>
    <d v="2024-07-08T00:00:00"/>
    <s v="CUST020"/>
    <s v="Margaret Wright"/>
    <s v="P008"/>
    <x v="5"/>
    <x v="1"/>
    <n v="1"/>
    <n v="149.99"/>
    <x v="1"/>
    <x v="4"/>
    <x v="2"/>
    <d v="2021-08-13T00:00:00"/>
    <n v="149.99"/>
    <d v="2026-05-01T00:00:00"/>
    <d v="2026-05-01T08:51:36"/>
    <n v="1060"/>
    <d v="2024-07-31T00:00:00"/>
  </r>
  <r>
    <s v="TRX0018"/>
    <d v="2024-07-11T00:00:00"/>
    <s v="CUST013"/>
    <s v="Joseph Jackson"/>
    <s v="P003"/>
    <x v="6"/>
    <x v="0"/>
    <n v="1"/>
    <n v="149.99"/>
    <x v="3"/>
    <x v="3"/>
    <x v="0"/>
    <d v="2022-12-14T00:00:00"/>
    <n v="149.99"/>
    <d v="2026-05-01T00:00:00"/>
    <d v="2026-05-01T08:51:36"/>
    <n v="575"/>
    <d v="2024-07-31T00:00:00"/>
  </r>
  <r>
    <s v="TRX0111"/>
    <d v="2024-09-19T00:00:00"/>
    <s v="CUST011"/>
    <s v="William White"/>
    <s v="P003"/>
    <x v="6"/>
    <x v="0"/>
    <n v="1"/>
    <n v="149.99"/>
    <x v="1"/>
    <x v="1"/>
    <x v="0"/>
    <d v="2021-10-13T00:00:00"/>
    <n v="149.99"/>
    <d v="2026-05-01T00:00:00"/>
    <d v="2026-05-01T08:51:36"/>
    <n v="1072"/>
    <d v="2024-09-30T00:00:00"/>
  </r>
  <r>
    <s v="TRX0081"/>
    <d v="2024-12-15T00:00:00"/>
    <s v="CUST007"/>
    <s v="David Martinez"/>
    <s v="P008"/>
    <x v="5"/>
    <x v="1"/>
    <n v="1"/>
    <n v="149.99"/>
    <x v="2"/>
    <x v="1"/>
    <x v="0"/>
    <d v="2023-10-01T00:00:00"/>
    <n v="149.99"/>
    <d v="2026-05-01T00:00:00"/>
    <d v="2026-05-01T08:51:36"/>
    <n v="441"/>
    <d v="2024-12-31T00:00:00"/>
  </r>
  <r>
    <s v="TRX0092"/>
    <d v="2024-04-21T00:00:00"/>
    <s v="CUST024"/>
    <s v="Dorothy Nelson"/>
    <s v="P005"/>
    <x v="9"/>
    <x v="2"/>
    <n v="2"/>
    <n v="59.99"/>
    <x v="3"/>
    <x v="2"/>
    <x v="0"/>
    <d v="2022-07-04T00:00:00"/>
    <n v="119.98"/>
    <d v="2026-05-01T00:00:00"/>
    <d v="2026-05-01T08:51:36"/>
    <n v="657"/>
    <d v="2024-04-30T00:00:00"/>
  </r>
  <r>
    <s v="TRX0063"/>
    <d v="2024-05-13T00:00:00"/>
    <s v="CUST030"/>
    <s v="Helen Roberts"/>
    <s v="P005"/>
    <x v="9"/>
    <x v="2"/>
    <n v="2"/>
    <n v="59.99"/>
    <x v="2"/>
    <x v="3"/>
    <x v="0"/>
    <d v="2023-10-15T00:00:00"/>
    <n v="119.98"/>
    <d v="2026-05-01T00:00:00"/>
    <d v="2026-05-01T08:51:36"/>
    <n v="211"/>
    <d v="2024-05-31T00:00:00"/>
  </r>
  <r>
    <s v="TRX0128"/>
    <d v="2024-06-01T00:00:00"/>
    <s v="CUST040"/>
    <s v="Sharon Butler"/>
    <s v="P005"/>
    <x v="9"/>
    <x v="2"/>
    <n v="2"/>
    <n v="59.99"/>
    <x v="3"/>
    <x v="2"/>
    <x v="2"/>
    <d v="2024-04-08T00:00:00"/>
    <n v="119.98"/>
    <d v="2026-05-01T00:00:00"/>
    <d v="2026-05-01T08:51:36"/>
    <n v="54"/>
    <d v="2024-06-30T00:00:00"/>
  </r>
  <r>
    <s v="TRX0006"/>
    <d v="2024-07-25T00:00:00"/>
    <s v="CUST007"/>
    <s v="David Martinez"/>
    <s v="P005"/>
    <x v="9"/>
    <x v="2"/>
    <n v="2"/>
    <n v="59.99"/>
    <x v="3"/>
    <x v="4"/>
    <x v="0"/>
    <d v="2023-08-14T00:00:00"/>
    <n v="119.98"/>
    <d v="2026-05-01T00:00:00"/>
    <d v="2026-05-01T08:51:36"/>
    <n v="346"/>
    <d v="2024-07-31T00:00:00"/>
  </r>
  <r>
    <s v="TRX0146"/>
    <d v="2024-10-07T00:00:00"/>
    <s v="CUST010"/>
    <s v="Maria Garcia"/>
    <s v="P005"/>
    <x v="9"/>
    <x v="2"/>
    <n v="2"/>
    <n v="59.99"/>
    <x v="0"/>
    <x v="3"/>
    <x v="2"/>
    <d v="2022-01-18T00:00:00"/>
    <n v="119.98"/>
    <d v="2026-05-01T00:00:00"/>
    <d v="2026-05-01T08:51:36"/>
    <n v="993"/>
    <d v="2024-10-31T00:00:00"/>
  </r>
  <r>
    <s v="TRX0028"/>
    <d v="2024-12-18T00:00:00"/>
    <s v="CUST002"/>
    <s v="Emma Wilson"/>
    <s v="P005"/>
    <x v="9"/>
    <x v="2"/>
    <n v="2"/>
    <n v="59.99"/>
    <x v="3"/>
    <x v="2"/>
    <x v="2"/>
    <d v="2023-09-22T00:00:00"/>
    <n v="119.98"/>
    <d v="2026-05-01T00:00:00"/>
    <d v="2026-05-01T08:51:36"/>
    <n v="453"/>
    <d v="2024-12-31T00:00:00"/>
  </r>
  <r>
    <s v="TRX0014"/>
    <d v="2025-03-18T00:00:00"/>
    <s v="CUST033"/>
    <s v="Frank Torres"/>
    <s v="P005"/>
    <x v="9"/>
    <x v="2"/>
    <n v="2"/>
    <n v="59.99"/>
    <x v="0"/>
    <x v="2"/>
    <x v="2"/>
    <d v="2023-09-24T00:00:00"/>
    <n v="119.98"/>
    <d v="2026-05-01T00:00:00"/>
    <d v="2026-05-01T08:51:36"/>
    <n v="541"/>
    <d v="2025-03-31T00:00:00"/>
  </r>
  <r>
    <s v="TRX0117"/>
    <d v="2024-06-01T00:00:00"/>
    <s v="CUST017"/>
    <s v="Charles Allen"/>
    <s v="P010"/>
    <x v="7"/>
    <x v="0"/>
    <n v="1"/>
    <n v="89.99"/>
    <x v="3"/>
    <x v="4"/>
    <x v="2"/>
    <d v="2023-08-03T00:00:00"/>
    <n v="89.99"/>
    <d v="2026-05-01T00:00:00"/>
    <d v="2026-05-01T08:51:36"/>
    <n v="303"/>
    <d v="2024-06-30T00:00:00"/>
  </r>
  <r>
    <s v="TRX0121"/>
    <d v="2024-06-06T00:00:00"/>
    <s v="CUST028"/>
    <s v="Betty Campbell"/>
    <s v="P010"/>
    <x v="7"/>
    <x v="0"/>
    <n v="1"/>
    <n v="89.99"/>
    <x v="0"/>
    <x v="0"/>
    <x v="0"/>
    <d v="2022-01-21T00:00:00"/>
    <n v="89.99"/>
    <d v="2026-05-01T00:00:00"/>
    <d v="2026-05-01T08:51:36"/>
    <n v="867"/>
    <d v="2024-06-30T00:00:00"/>
  </r>
  <r>
    <s v="TRX0192"/>
    <d v="2024-07-02T00:00:00"/>
    <s v="CUST017"/>
    <s v="Charles Allen"/>
    <s v="P010"/>
    <x v="7"/>
    <x v="0"/>
    <n v="1"/>
    <n v="89.99"/>
    <x v="1"/>
    <x v="2"/>
    <x v="0"/>
    <d v="2022-08-29T00:00:00"/>
    <n v="89.99"/>
    <d v="2026-05-01T00:00:00"/>
    <d v="2026-05-01T08:51:36"/>
    <n v="673"/>
    <d v="2024-07-31T00:00:00"/>
  </r>
  <r>
    <s v="TRX0052"/>
    <d v="2024-07-03T00:00:00"/>
    <s v="CUST022"/>
    <s v="Susan Green"/>
    <s v="P010"/>
    <x v="7"/>
    <x v="0"/>
    <n v="1"/>
    <n v="89.99"/>
    <x v="3"/>
    <x v="0"/>
    <x v="0"/>
    <d v="2022-02-19T00:00:00"/>
    <n v="89.99"/>
    <d v="2026-05-01T00:00:00"/>
    <d v="2026-05-01T08:51:36"/>
    <n v="865"/>
    <d v="2024-07-31T00:00:00"/>
  </r>
  <r>
    <s v="TRX0101"/>
    <d v="2024-08-09T00:00:00"/>
    <s v="CUST010"/>
    <s v="Maria Garcia"/>
    <s v="P010"/>
    <x v="7"/>
    <x v="0"/>
    <n v="1"/>
    <n v="89.99"/>
    <x v="0"/>
    <x v="4"/>
    <x v="0"/>
    <d v="2024-04-11T00:00:00"/>
    <n v="89.99"/>
    <d v="2026-05-01T00:00:00"/>
    <d v="2026-05-01T08:51:36"/>
    <n v="120"/>
    <d v="2024-08-31T00:00:00"/>
  </r>
  <r>
    <s v="TRX0183"/>
    <d v="2024-12-19T00:00:00"/>
    <s v="CUST007"/>
    <s v="David Martinez"/>
    <s v="P010"/>
    <x v="7"/>
    <x v="0"/>
    <n v="1"/>
    <n v="89.99"/>
    <x v="2"/>
    <x v="3"/>
    <x v="0"/>
    <d v="2022-07-18T00:00:00"/>
    <n v="89.99"/>
    <d v="2026-05-01T00:00:00"/>
    <d v="2026-05-01T08:51:36"/>
    <n v="885"/>
    <d v="2024-12-31T00:00:00"/>
  </r>
  <r>
    <s v="TRX0156"/>
    <d v="2024-12-29T00:00:00"/>
    <s v="CUST009"/>
    <s v="Robert Thomas"/>
    <s v="P010"/>
    <x v="7"/>
    <x v="0"/>
    <n v="1"/>
    <n v="89.99"/>
    <x v="0"/>
    <x v="0"/>
    <x v="1"/>
    <d v="2022-01-30T00:00:00"/>
    <n v="89.99"/>
    <d v="2026-05-01T00:00:00"/>
    <d v="2026-05-01T08:51:36"/>
    <n v="1064"/>
    <d v="2024-12-31T00:00:00"/>
  </r>
  <r>
    <s v="TRX0116"/>
    <d v="2025-04-09T00:00:00"/>
    <s v="CUST009"/>
    <s v="Robert Thomas"/>
    <s v="P010"/>
    <x v="7"/>
    <x v="0"/>
    <n v="1"/>
    <n v="89.99"/>
    <x v="2"/>
    <x v="1"/>
    <x v="2"/>
    <d v="2024-02-24T00:00:00"/>
    <n v="89.99"/>
    <d v="2026-05-01T00:00:00"/>
    <d v="2026-05-01T08:51:36"/>
    <n v="410"/>
    <d v="2025-04-30T00:00:00"/>
  </r>
  <r>
    <s v="TRX0042"/>
    <d v="2024-05-31T00:00:00"/>
    <s v="CUST019"/>
    <s v="Daniel King"/>
    <s v="P004"/>
    <x v="8"/>
    <x v="2"/>
    <n v="1"/>
    <n v="79.989999999999995"/>
    <x v="3"/>
    <x v="4"/>
    <x v="0"/>
    <d v="2022-12-22T00:00:00"/>
    <n v="79.989999999999995"/>
    <d v="2026-05-01T00:00:00"/>
    <d v="2026-05-01T08:51:36"/>
    <n v="526"/>
    <d v="2024-05-31T00:00:00"/>
  </r>
  <r>
    <s v="TRX0078"/>
    <d v="2024-06-26T00:00:00"/>
    <s v="CUST021"/>
    <s v="Kevin Scott"/>
    <s v="P004"/>
    <x v="8"/>
    <x v="2"/>
    <n v="1"/>
    <n v="79.989999999999995"/>
    <x v="1"/>
    <x v="3"/>
    <x v="1"/>
    <d v="2024-03-01T00:00:00"/>
    <n v="79.989999999999995"/>
    <d v="2026-05-01T00:00:00"/>
    <d v="2026-05-01T08:51:36"/>
    <n v="117"/>
    <d v="2024-06-30T00:00:00"/>
  </r>
  <r>
    <s v="TRX0161"/>
    <d v="2024-09-10T00:00:00"/>
    <s v="CUST017"/>
    <s v="Charles Allen"/>
    <s v="P004"/>
    <x v="8"/>
    <x v="2"/>
    <n v="1"/>
    <n v="79.989999999999995"/>
    <x v="3"/>
    <x v="2"/>
    <x v="2"/>
    <d v="2022-05-12T00:00:00"/>
    <n v="79.989999999999995"/>
    <d v="2026-05-01T00:00:00"/>
    <d v="2026-05-01T08:51:36"/>
    <n v="852"/>
    <d v="2024-09-30T00:00:00"/>
  </r>
  <r>
    <s v="TRX0102"/>
    <d v="2025-01-13T00:00:00"/>
    <s v="CUST045"/>
    <s v="Douglas Watson"/>
    <s v="P004"/>
    <x v="8"/>
    <x v="2"/>
    <n v="1"/>
    <n v="79.989999999999995"/>
    <x v="0"/>
    <x v="0"/>
    <x v="2"/>
    <d v="2024-01-31T00:00:00"/>
    <n v="79.989999999999995"/>
    <d v="2026-05-01T00:00:00"/>
    <d v="2026-05-01T08:51:36"/>
    <n v="348"/>
    <d v="2025-01-31T00:00:00"/>
  </r>
  <r>
    <s v="TRX0061"/>
    <d v="2024-06-17T00:00:00"/>
    <s v="CUST028"/>
    <s v="Betty Campbell"/>
    <s v="P005"/>
    <x v="9"/>
    <x v="2"/>
    <n v="1"/>
    <n v="59.99"/>
    <x v="2"/>
    <x v="2"/>
    <x v="1"/>
    <d v="2023-09-21T00:00:00"/>
    <n v="59.99"/>
    <d v="2026-05-01T00:00:00"/>
    <d v="2026-05-01T08:51:36"/>
    <n v="270"/>
    <d v="2024-06-30T00:00:00"/>
  </r>
  <r>
    <s v="TRX0145"/>
    <d v="2024-11-23T00:00:00"/>
    <s v="CUST033"/>
    <s v="Frank Torres"/>
    <s v="P005"/>
    <x v="9"/>
    <x v="2"/>
    <n v="1"/>
    <n v="59.99"/>
    <x v="2"/>
    <x v="2"/>
    <x v="0"/>
    <d v="2021-12-30T00:00:00"/>
    <n v="59.99"/>
    <d v="2026-05-01T00:00:00"/>
    <d v="2026-05-01T08:51:36"/>
    <n v="1059"/>
    <d v="2024-11-30T00:00:00"/>
  </r>
  <r>
    <s v="TRX0219"/>
    <d v="2025-02-04T00:00:00"/>
    <s v="CUST037"/>
    <s v="Arthur Edwards"/>
    <s v="P005"/>
    <x v="9"/>
    <x v="2"/>
    <n v="1"/>
    <n v="59.99"/>
    <x v="2"/>
    <x v="3"/>
    <x v="0"/>
    <d v="2023-04-29T00:00:00"/>
    <n v="59.99"/>
    <d v="2026-05-01T00:00:00"/>
    <d v="2026-05-01T08:51:36"/>
    <n v="647"/>
    <d v="2025-02-2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1CDEF-D133-422F-9B1A-9577A39933DE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0:G35" firstHeaderRow="1" firstDataRow="2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axis="axisCol" showAll="0">
      <items count="6">
        <item x="3"/>
        <item x="1"/>
        <item x="4"/>
        <item x="0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numFmtId="14" showAll="0"/>
    <pivotField dataField="1" showAll="0"/>
    <pivotField numFmtId="14" showAll="0"/>
    <pivotField numFmtId="22" showAll="0"/>
    <pivotField showAll="0"/>
    <pivotField numFmtId="14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Amount" fld="13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14212-1EA6-4403-842A-230B50D6FADD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3:L28" firstHeaderRow="1" firstDataRow="2" firstDataCol="1"/>
  <pivotFields count="18">
    <pivotField showAll="0"/>
    <pivotField numFmtId="14" showAll="0"/>
    <pivotField showAll="0"/>
    <pivotField showAll="0"/>
    <pivotField showAll="0"/>
    <pivotField axis="axisCol" showAll="0">
      <items count="11">
        <item x="9"/>
        <item x="5"/>
        <item x="8"/>
        <item x="2"/>
        <item x="6"/>
        <item x="7"/>
        <item x="0"/>
        <item x="3"/>
        <item x="4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numFmtId="2" showAll="0"/>
    <pivotField numFmtId="2" showAll="0"/>
    <pivotField showAll="0">
      <items count="5">
        <item x="3"/>
        <item x="0"/>
        <item x="2"/>
        <item x="1"/>
        <item t="default"/>
      </items>
    </pivotField>
    <pivotField showAll="0">
      <items count="6">
        <item x="3"/>
        <item x="1"/>
        <item x="4"/>
        <item x="0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numFmtId="14" showAll="0"/>
    <pivotField dataField="1" showAll="0"/>
    <pivotField numFmtId="14" showAll="0"/>
    <pivotField numFmtId="22" showAll="0"/>
    <pivotField showAll="0"/>
    <pivotField numFmtId="14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_Amount" fld="13" baseField="0" baseItem="0"/>
  </dataFields>
  <chartFormats count="40"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5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1" count="1" selected="0">
            <x v="0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1" count="1" selected="0">
            <x v="1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1" count="1" selected="0">
            <x v="2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5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1" count="1" selected="0">
            <x v="0"/>
          </reference>
        </references>
      </pivotArea>
    </chartFormat>
    <chartFormat chart="4" format="5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1" count="1" selected="0">
            <x v="1"/>
          </reference>
        </references>
      </pivotArea>
    </chartFormat>
    <chartFormat chart="4" format="57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1" count="1" selected="0">
            <x v="2"/>
          </reference>
        </references>
      </pivotArea>
    </chartFormat>
    <chartFormat chart="4" format="5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59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1" count="1" selected="0">
            <x v="0"/>
          </reference>
        </references>
      </pivotArea>
    </chartFormat>
    <chartFormat chart="4" format="60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1" count="1" selected="0">
            <x v="1"/>
          </reference>
        </references>
      </pivotArea>
    </chartFormat>
    <chartFormat chart="4" format="6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1" count="1" selected="0">
            <x v="2"/>
          </reference>
        </references>
      </pivotArea>
    </chartFormat>
    <chartFormat chart="4" format="6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63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1" count="1" selected="0">
            <x v="0"/>
          </reference>
        </references>
      </pivotArea>
    </chartFormat>
    <chartFormat chart="4" format="6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1" count="1" selected="0">
            <x v="1"/>
          </reference>
        </references>
      </pivotArea>
    </chartFormat>
    <chartFormat chart="4" format="65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1" count="1" selected="0">
            <x v="2"/>
          </reference>
        </references>
      </pivotArea>
    </chartFormat>
    <chartFormat chart="4" format="6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67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1" count="1" selected="0">
            <x v="0"/>
          </reference>
        </references>
      </pivotArea>
    </chartFormat>
    <chartFormat chart="4" format="68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1" count="1" selected="0">
            <x v="1"/>
          </reference>
        </references>
      </pivotArea>
    </chartFormat>
    <chartFormat chart="4" format="69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1" count="1" selected="0">
            <x v="2"/>
          </reference>
        </references>
      </pivotArea>
    </chartFormat>
    <chartFormat chart="4" format="7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7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11" count="1" selected="0">
            <x v="0"/>
          </reference>
        </references>
      </pivotArea>
    </chartFormat>
    <chartFormat chart="4" format="72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11" count="1" selected="0">
            <x v="1"/>
          </reference>
        </references>
      </pivotArea>
    </chartFormat>
    <chartFormat chart="4" format="73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11" count="1" selected="0">
            <x v="2"/>
          </reference>
        </references>
      </pivotArea>
    </chartFormat>
    <chartFormat chart="4" format="7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" format="75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11" count="1" selected="0">
            <x v="0"/>
          </reference>
        </references>
      </pivotArea>
    </chartFormat>
    <chartFormat chart="4" format="76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11" count="1" selected="0">
            <x v="1"/>
          </reference>
        </references>
      </pivotArea>
    </chartFormat>
    <chartFormat chart="4" format="77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11" count="1" selected="0">
            <x v="2"/>
          </reference>
        </references>
      </pivotArea>
    </chartFormat>
    <chartFormat chart="4" format="7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4" format="79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11" count="1" selected="0">
            <x v="0"/>
          </reference>
        </references>
      </pivotArea>
    </chartFormat>
    <chartFormat chart="4" format="80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11" count="1" selected="0">
            <x v="1"/>
          </reference>
        </references>
      </pivotArea>
    </chartFormat>
    <chartFormat chart="4" format="81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11" count="1" selected="0">
            <x v="2"/>
          </reference>
        </references>
      </pivotArea>
    </chartFormat>
    <chartFormat chart="4" format="8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4" format="83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11" count="1" selected="0">
            <x v="0"/>
          </reference>
        </references>
      </pivotArea>
    </chartFormat>
    <chartFormat chart="4" format="84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11" count="1" selected="0">
            <x v="1"/>
          </reference>
        </references>
      </pivotArea>
    </chartFormat>
    <chartFormat chart="4" format="85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11" count="1" selected="0">
            <x v="2"/>
          </reference>
        </references>
      </pivotArea>
    </chartFormat>
    <chartFormat chart="4" format="8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4" format="87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11" count="1" selected="0">
            <x v="0"/>
          </reference>
        </references>
      </pivotArea>
    </chartFormat>
    <chartFormat chart="4" format="88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11" count="1" selected="0">
            <x v="1"/>
          </reference>
        </references>
      </pivotArea>
    </chartFormat>
    <chartFormat chart="4" format="89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49DB1-E7EC-40BF-9625-06BFE6346FC8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G6" firstHeaderRow="1" firstDataRow="2" firstDataCol="1"/>
  <pivotFields count="18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2" showAll="0"/>
    <pivotField numFmtId="2" showAll="0"/>
    <pivotField showAll="0"/>
    <pivotField axis="axisCol" showAll="0">
      <items count="6">
        <item x="3"/>
        <item x="1"/>
        <item x="4"/>
        <item x="0"/>
        <item x="2"/>
        <item t="default"/>
      </items>
    </pivotField>
    <pivotField showAll="0"/>
    <pivotField numFmtId="14" showAll="0"/>
    <pivotField dataField="1" showAll="0"/>
    <pivotField numFmtId="14" showAll="0"/>
    <pivotField numFmtId="22" showAll="0"/>
    <pivotField showAll="0"/>
    <pivotField numFmtId="1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Amount" fld="13" baseField="0" baseItem="0"/>
  </dataFields>
  <chartFormats count="5"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EF0EE-CF54-40EB-B603-C68E921020C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9:F21" firstHeaderRow="1" firstDataRow="2" firstDataCol="1"/>
  <pivotFields count="18">
    <pivotField showAll="0"/>
    <pivotField numFmtId="14" showAll="0"/>
    <pivotField showAll="0"/>
    <pivotField showAll="0"/>
    <pivotField showAll="0"/>
    <pivotField axis="axisRow" showAll="0">
      <items count="11">
        <item x="9"/>
        <item x="5"/>
        <item x="8"/>
        <item x="2"/>
        <item x="6"/>
        <item x="7"/>
        <item x="0"/>
        <item x="3"/>
        <item x="4"/>
        <item x="1"/>
        <item t="default"/>
      </items>
    </pivotField>
    <pivotField showAll="0"/>
    <pivotField numFmtId="2" showAll="0"/>
    <pivotField numFmtId="2"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numFmtId="14" showAll="0"/>
    <pivotField dataField="1" showAll="0"/>
    <pivotField numFmtId="14" showAll="0"/>
    <pivotField numFmtId="22" showAll="0"/>
    <pivotField showAll="0"/>
    <pivotField numFmtId="14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Amount" fld="13" baseField="0" baseItem="0"/>
  </dataFields>
  <chartFormats count="4"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6486-B6EF-41E3-B57D-58AC4168F1FE}">
  <dimension ref="A1:T251"/>
  <sheetViews>
    <sheetView workbookViewId="0">
      <selection sqref="A1:R251"/>
    </sheetView>
  </sheetViews>
  <sheetFormatPr defaultRowHeight="14.4" x14ac:dyDescent="0.3"/>
  <cols>
    <col min="1" max="1" width="8.5546875" bestFit="1" customWidth="1"/>
    <col min="2" max="2" width="10.5546875" bestFit="1" customWidth="1"/>
    <col min="3" max="3" width="8.44140625" bestFit="1" customWidth="1"/>
    <col min="5" max="5" width="8.6640625" bestFit="1" customWidth="1"/>
    <col min="8" max="8" width="8.33203125" bestFit="1" customWidth="1"/>
    <col min="9" max="9" width="8.6640625" bestFit="1" customWidth="1"/>
    <col min="10" max="10" width="8.77734375" bestFit="1" customWidth="1"/>
    <col min="11" max="11" width="6.88671875" bestFit="1" customWidth="1"/>
    <col min="12" max="12" width="8.44140625" bestFit="1" customWidth="1"/>
    <col min="13" max="13" width="10.5546875" bestFit="1" customWidth="1"/>
    <col min="14" max="14" width="9.6640625" bestFit="1" customWidth="1"/>
    <col min="15" max="15" width="9.33203125" bestFit="1" customWidth="1"/>
    <col min="16" max="16" width="14.33203125" bestFit="1" customWidth="1"/>
    <col min="17" max="17" width="8.6640625" bestFit="1" customWidth="1"/>
    <col min="18" max="18" width="10.33203125" bestFit="1" customWidth="1"/>
    <col min="20" max="20" width="6.44140625" bestFit="1" customWidth="1"/>
  </cols>
  <sheetData>
    <row r="1" spans="1:20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401</v>
      </c>
      <c r="P1" s="7" t="s">
        <v>402</v>
      </c>
      <c r="Q1" s="6" t="s">
        <v>399</v>
      </c>
      <c r="R1" s="6" t="s">
        <v>400</v>
      </c>
      <c r="T1" s="6" t="s">
        <v>403</v>
      </c>
    </row>
    <row r="2" spans="1:20" ht="29.4" thickBot="1" x14ac:dyDescent="0.35">
      <c r="A2" s="2" t="s">
        <v>166</v>
      </c>
      <c r="B2" s="4">
        <v>45459</v>
      </c>
      <c r="C2" s="2" t="s">
        <v>15</v>
      </c>
      <c r="D2" s="2" t="s">
        <v>16</v>
      </c>
      <c r="E2" s="2" t="s">
        <v>61</v>
      </c>
      <c r="F2" s="2" t="s">
        <v>62</v>
      </c>
      <c r="G2" s="2" t="s">
        <v>19</v>
      </c>
      <c r="H2" s="21">
        <v>5</v>
      </c>
      <c r="I2" s="21">
        <v>899.99</v>
      </c>
      <c r="J2" s="2" t="s">
        <v>26</v>
      </c>
      <c r="K2" s="2" t="s">
        <v>35</v>
      </c>
      <c r="L2" s="2" t="s">
        <v>36</v>
      </c>
      <c r="M2" s="4">
        <v>44974</v>
      </c>
      <c r="N2" s="5">
        <f t="shared" ref="N2:N66" si="0">I2*H2</f>
        <v>4499.95</v>
      </c>
      <c r="O2" s="3">
        <f t="shared" ref="O2:O65" ca="1" si="1">TODAY()</f>
        <v>46143</v>
      </c>
      <c r="P2" s="8">
        <f t="shared" ref="P2:P65" ca="1" si="2">NOW()</f>
        <v>46143.95781284722</v>
      </c>
      <c r="Q2">
        <f t="shared" ref="Q2:Q65" si="3">DATEDIF(M2,B2,"D")</f>
        <v>485</v>
      </c>
      <c r="R2" s="3">
        <f t="shared" ref="R2:R65" si="4">EOMONTH(B2,0)</f>
        <v>45473</v>
      </c>
      <c r="T2" t="str" cm="1">
        <f t="array" ref="T2:T49">_xlfn._xlws.FILTER(K:K,(K:K=K6)+(K:K=K3),"Region Not Found")</f>
        <v>East</v>
      </c>
    </row>
    <row r="3" spans="1:20" ht="29.4" thickBot="1" x14ac:dyDescent="0.35">
      <c r="A3" s="2" t="s">
        <v>167</v>
      </c>
      <c r="B3" s="4">
        <v>45459</v>
      </c>
      <c r="C3" s="2" t="s">
        <v>123</v>
      </c>
      <c r="D3" s="2" t="s">
        <v>124</v>
      </c>
      <c r="E3" s="2" t="s">
        <v>61</v>
      </c>
      <c r="F3" s="2" t="s">
        <v>62</v>
      </c>
      <c r="G3" s="2" t="s">
        <v>19</v>
      </c>
      <c r="H3" s="21">
        <v>5</v>
      </c>
      <c r="I3" s="21">
        <v>899.99</v>
      </c>
      <c r="J3" s="2" t="s">
        <v>34</v>
      </c>
      <c r="K3" s="2" t="s">
        <v>63</v>
      </c>
      <c r="L3" s="2" t="s">
        <v>27</v>
      </c>
      <c r="M3" s="4">
        <v>45278</v>
      </c>
      <c r="N3" s="5">
        <f t="shared" si="0"/>
        <v>4499.95</v>
      </c>
      <c r="O3" s="3">
        <f t="shared" ca="1" si="1"/>
        <v>46143</v>
      </c>
      <c r="P3" s="8">
        <f t="shared" ca="1" si="2"/>
        <v>46143.95781284722</v>
      </c>
      <c r="Q3">
        <f t="shared" si="3"/>
        <v>181</v>
      </c>
      <c r="R3" s="3">
        <f t="shared" si="4"/>
        <v>45473</v>
      </c>
      <c r="T3" t="str">
        <v>East</v>
      </c>
    </row>
    <row r="4" spans="1:20" ht="29.4" thickBot="1" x14ac:dyDescent="0.35">
      <c r="A4" s="2" t="s">
        <v>201</v>
      </c>
      <c r="B4" s="4">
        <v>45497</v>
      </c>
      <c r="C4" s="2" t="s">
        <v>24</v>
      </c>
      <c r="D4" s="2" t="s">
        <v>25</v>
      </c>
      <c r="E4" s="2" t="s">
        <v>61</v>
      </c>
      <c r="F4" s="2" t="s">
        <v>62</v>
      </c>
      <c r="G4" s="2" t="s">
        <v>19</v>
      </c>
      <c r="H4" s="21">
        <v>5</v>
      </c>
      <c r="I4" s="21">
        <v>899.99</v>
      </c>
      <c r="J4" s="2" t="s">
        <v>57</v>
      </c>
      <c r="K4" s="2" t="s">
        <v>35</v>
      </c>
      <c r="L4" s="2" t="s">
        <v>36</v>
      </c>
      <c r="M4" s="4">
        <v>44899</v>
      </c>
      <c r="N4" s="5">
        <f t="shared" si="0"/>
        <v>4499.95</v>
      </c>
      <c r="O4" s="3">
        <f t="shared" ca="1" si="1"/>
        <v>46143</v>
      </c>
      <c r="P4" s="8">
        <f t="shared" ca="1" si="2"/>
        <v>46143.95781284722</v>
      </c>
      <c r="Q4">
        <f t="shared" si="3"/>
        <v>598</v>
      </c>
      <c r="R4" s="3">
        <f t="shared" si="4"/>
        <v>45504</v>
      </c>
      <c r="T4" t="str">
        <v>East</v>
      </c>
    </row>
    <row r="5" spans="1:20" ht="29.4" thickBot="1" x14ac:dyDescent="0.35">
      <c r="A5" s="2" t="s">
        <v>222</v>
      </c>
      <c r="B5" s="4">
        <v>45523</v>
      </c>
      <c r="C5" s="2" t="s">
        <v>196</v>
      </c>
      <c r="D5" s="2" t="s">
        <v>197</v>
      </c>
      <c r="E5" s="2" t="s">
        <v>61</v>
      </c>
      <c r="F5" s="2" t="s">
        <v>62</v>
      </c>
      <c r="G5" s="2" t="s">
        <v>19</v>
      </c>
      <c r="H5" s="21">
        <v>5</v>
      </c>
      <c r="I5" s="21">
        <v>899.99</v>
      </c>
      <c r="J5" s="2" t="s">
        <v>57</v>
      </c>
      <c r="K5" s="2" t="s">
        <v>63</v>
      </c>
      <c r="L5" s="2" t="s">
        <v>22</v>
      </c>
      <c r="M5" s="4">
        <v>44526</v>
      </c>
      <c r="N5" s="5">
        <f t="shared" si="0"/>
        <v>4499.95</v>
      </c>
      <c r="O5" s="3">
        <f t="shared" ca="1" si="1"/>
        <v>46143</v>
      </c>
      <c r="P5" s="8">
        <f t="shared" ca="1" si="2"/>
        <v>46143.95781284722</v>
      </c>
      <c r="Q5">
        <f t="shared" si="3"/>
        <v>997</v>
      </c>
      <c r="R5" s="3">
        <f t="shared" si="4"/>
        <v>45535</v>
      </c>
      <c r="T5" t="str">
        <v>East</v>
      </c>
    </row>
    <row r="6" spans="1:20" ht="29.4" thickBot="1" x14ac:dyDescent="0.35">
      <c r="A6" s="2" t="s">
        <v>313</v>
      </c>
      <c r="B6" s="4">
        <v>45645</v>
      </c>
      <c r="C6" s="2" t="s">
        <v>147</v>
      </c>
      <c r="D6" s="2" t="s">
        <v>148</v>
      </c>
      <c r="E6" s="2" t="s">
        <v>61</v>
      </c>
      <c r="F6" s="2" t="s">
        <v>62</v>
      </c>
      <c r="G6" s="2" t="s">
        <v>19</v>
      </c>
      <c r="H6" s="21">
        <v>5</v>
      </c>
      <c r="I6" s="21">
        <v>899.99</v>
      </c>
      <c r="J6" s="2" t="s">
        <v>57</v>
      </c>
      <c r="K6" s="2" t="s">
        <v>63</v>
      </c>
      <c r="L6" s="2" t="s">
        <v>36</v>
      </c>
      <c r="M6" s="4">
        <v>44625</v>
      </c>
      <c r="N6" s="5">
        <f t="shared" si="0"/>
        <v>4499.95</v>
      </c>
      <c r="O6" s="3">
        <f t="shared" ca="1" si="1"/>
        <v>46143</v>
      </c>
      <c r="P6" s="8">
        <f t="shared" ca="1" si="2"/>
        <v>46143.95781284722</v>
      </c>
      <c r="Q6">
        <f t="shared" si="3"/>
        <v>1020</v>
      </c>
      <c r="R6" s="3">
        <f t="shared" si="4"/>
        <v>45657</v>
      </c>
      <c r="T6" t="str">
        <v>East</v>
      </c>
    </row>
    <row r="7" spans="1:20" ht="29.4" thickBot="1" x14ac:dyDescent="0.35">
      <c r="A7" s="2" t="s">
        <v>377</v>
      </c>
      <c r="B7" s="4">
        <v>45724</v>
      </c>
      <c r="C7" s="2" t="s">
        <v>144</v>
      </c>
      <c r="D7" s="2" t="s">
        <v>145</v>
      </c>
      <c r="E7" s="2" t="s">
        <v>61</v>
      </c>
      <c r="F7" s="2" t="s">
        <v>62</v>
      </c>
      <c r="G7" s="2" t="s">
        <v>19</v>
      </c>
      <c r="H7" s="21">
        <v>5</v>
      </c>
      <c r="I7" s="21">
        <v>899.99</v>
      </c>
      <c r="J7" s="2" t="s">
        <v>34</v>
      </c>
      <c r="K7" s="2" t="s">
        <v>63</v>
      </c>
      <c r="L7" s="2" t="s">
        <v>27</v>
      </c>
      <c r="M7" s="4">
        <v>45389</v>
      </c>
      <c r="N7" s="5">
        <f t="shared" si="0"/>
        <v>4499.95</v>
      </c>
      <c r="O7" s="3">
        <f t="shared" ca="1" si="1"/>
        <v>46143</v>
      </c>
      <c r="P7" s="8">
        <f t="shared" ca="1" si="2"/>
        <v>46143.95781284722</v>
      </c>
      <c r="Q7">
        <f t="shared" si="3"/>
        <v>335</v>
      </c>
      <c r="R7" s="3">
        <f t="shared" si="4"/>
        <v>45747</v>
      </c>
      <c r="T7" t="str">
        <v>East</v>
      </c>
    </row>
    <row r="8" spans="1:20" ht="29.4" thickBot="1" x14ac:dyDescent="0.35">
      <c r="A8" s="2" t="s">
        <v>91</v>
      </c>
      <c r="B8" s="4">
        <v>45410</v>
      </c>
      <c r="C8" s="2" t="s">
        <v>86</v>
      </c>
      <c r="D8" s="2" t="s">
        <v>87</v>
      </c>
      <c r="E8" s="2" t="s">
        <v>61</v>
      </c>
      <c r="F8" s="2" t="s">
        <v>62</v>
      </c>
      <c r="G8" s="2" t="s">
        <v>19</v>
      </c>
      <c r="H8" s="21">
        <v>4</v>
      </c>
      <c r="I8" s="21">
        <v>899.99</v>
      </c>
      <c r="J8" s="2" t="s">
        <v>26</v>
      </c>
      <c r="K8" s="2" t="s">
        <v>50</v>
      </c>
      <c r="L8" s="2" t="s">
        <v>36</v>
      </c>
      <c r="M8" s="4">
        <v>45327</v>
      </c>
      <c r="N8" s="5">
        <f t="shared" si="0"/>
        <v>3599.96</v>
      </c>
      <c r="O8" s="3">
        <f t="shared" ca="1" si="1"/>
        <v>46143</v>
      </c>
      <c r="P8" s="8">
        <f t="shared" ca="1" si="2"/>
        <v>46143.95781284722</v>
      </c>
      <c r="Q8">
        <f t="shared" si="3"/>
        <v>83</v>
      </c>
      <c r="R8" s="3">
        <f t="shared" si="4"/>
        <v>45412</v>
      </c>
      <c r="T8" t="str">
        <v>East</v>
      </c>
    </row>
    <row r="9" spans="1:20" ht="29.4" thickBot="1" x14ac:dyDescent="0.35">
      <c r="A9" s="2" t="s">
        <v>176</v>
      </c>
      <c r="B9" s="4">
        <v>45471</v>
      </c>
      <c r="C9" s="2" t="s">
        <v>99</v>
      </c>
      <c r="D9" s="2" t="s">
        <v>100</v>
      </c>
      <c r="E9" s="2" t="s">
        <v>61</v>
      </c>
      <c r="F9" s="2" t="s">
        <v>62</v>
      </c>
      <c r="G9" s="2" t="s">
        <v>19</v>
      </c>
      <c r="H9" s="21">
        <v>4</v>
      </c>
      <c r="I9" s="21">
        <v>899.99</v>
      </c>
      <c r="J9" s="2" t="s">
        <v>26</v>
      </c>
      <c r="K9" s="2" t="s">
        <v>63</v>
      </c>
      <c r="L9" s="2" t="s">
        <v>27</v>
      </c>
      <c r="M9" s="4">
        <v>44993</v>
      </c>
      <c r="N9" s="5">
        <f t="shared" si="0"/>
        <v>3599.96</v>
      </c>
      <c r="O9" s="3">
        <f t="shared" ca="1" si="1"/>
        <v>46143</v>
      </c>
      <c r="P9" s="8">
        <f t="shared" ca="1" si="2"/>
        <v>46143.95781284722</v>
      </c>
      <c r="Q9">
        <f t="shared" si="3"/>
        <v>478</v>
      </c>
      <c r="R9" s="3">
        <f t="shared" si="4"/>
        <v>45473</v>
      </c>
      <c r="T9" t="str">
        <v>East</v>
      </c>
    </row>
    <row r="10" spans="1:20" ht="29.4" thickBot="1" x14ac:dyDescent="0.35">
      <c r="A10" s="2" t="s">
        <v>209</v>
      </c>
      <c r="B10" s="4">
        <v>45504</v>
      </c>
      <c r="C10" s="2" t="s">
        <v>120</v>
      </c>
      <c r="D10" s="2" t="s">
        <v>121</v>
      </c>
      <c r="E10" s="2" t="s">
        <v>61</v>
      </c>
      <c r="F10" s="2" t="s">
        <v>62</v>
      </c>
      <c r="G10" s="2" t="s">
        <v>19</v>
      </c>
      <c r="H10" s="21">
        <v>4</v>
      </c>
      <c r="I10" s="21">
        <v>899.99</v>
      </c>
      <c r="J10" s="2" t="s">
        <v>57</v>
      </c>
      <c r="K10" s="2" t="s">
        <v>35</v>
      </c>
      <c r="L10" s="2" t="s">
        <v>36</v>
      </c>
      <c r="M10" s="4">
        <v>44523</v>
      </c>
      <c r="N10" s="5">
        <f t="shared" si="0"/>
        <v>3599.96</v>
      </c>
      <c r="O10" s="3">
        <f t="shared" ca="1" si="1"/>
        <v>46143</v>
      </c>
      <c r="P10" s="8">
        <f t="shared" ca="1" si="2"/>
        <v>46143.95781284722</v>
      </c>
      <c r="Q10">
        <f t="shared" si="3"/>
        <v>981</v>
      </c>
      <c r="R10" s="3">
        <f t="shared" si="4"/>
        <v>45504</v>
      </c>
      <c r="T10" t="str">
        <v>East</v>
      </c>
    </row>
    <row r="11" spans="1:20" ht="29.4" thickBot="1" x14ac:dyDescent="0.35">
      <c r="A11" s="2" t="s">
        <v>345</v>
      </c>
      <c r="B11" s="4">
        <v>45686</v>
      </c>
      <c r="C11" s="2" t="s">
        <v>252</v>
      </c>
      <c r="D11" s="2" t="s">
        <v>253</v>
      </c>
      <c r="E11" s="2" t="s">
        <v>61</v>
      </c>
      <c r="F11" s="2" t="s">
        <v>62</v>
      </c>
      <c r="G11" s="2" t="s">
        <v>19</v>
      </c>
      <c r="H11" s="21">
        <v>4</v>
      </c>
      <c r="I11" s="21">
        <v>899.99</v>
      </c>
      <c r="J11" s="2" t="s">
        <v>34</v>
      </c>
      <c r="K11" s="2" t="s">
        <v>21</v>
      </c>
      <c r="L11" s="2" t="s">
        <v>22</v>
      </c>
      <c r="M11" s="4">
        <v>44734</v>
      </c>
      <c r="N11" s="5">
        <f>I11*H11</f>
        <v>3599.96</v>
      </c>
      <c r="O11" s="3">
        <f t="shared" ca="1" si="1"/>
        <v>46143</v>
      </c>
      <c r="P11" s="8">
        <f t="shared" ca="1" si="2"/>
        <v>46143.95781284722</v>
      </c>
      <c r="Q11">
        <f t="shared" si="3"/>
        <v>952</v>
      </c>
      <c r="R11" s="3">
        <f t="shared" si="4"/>
        <v>45688</v>
      </c>
      <c r="T11" t="str">
        <v>East</v>
      </c>
    </row>
    <row r="12" spans="1:20" ht="29.4" thickBot="1" x14ac:dyDescent="0.35">
      <c r="A12" s="2" t="s">
        <v>95</v>
      </c>
      <c r="B12" s="4">
        <v>45412</v>
      </c>
      <c r="C12" s="2" t="s">
        <v>96</v>
      </c>
      <c r="D12" s="2" t="s">
        <v>97</v>
      </c>
      <c r="E12" s="2" t="s">
        <v>80</v>
      </c>
      <c r="F12" s="2" t="s">
        <v>81</v>
      </c>
      <c r="G12" s="2" t="s">
        <v>19</v>
      </c>
      <c r="H12" s="21">
        <v>5</v>
      </c>
      <c r="I12" s="21">
        <v>699.99</v>
      </c>
      <c r="J12" s="2" t="s">
        <v>20</v>
      </c>
      <c r="K12" s="2" t="s">
        <v>50</v>
      </c>
      <c r="L12" s="2" t="s">
        <v>22</v>
      </c>
      <c r="M12" s="4">
        <v>45167</v>
      </c>
      <c r="N12" s="5">
        <f t="shared" si="0"/>
        <v>3499.95</v>
      </c>
      <c r="O12" s="3">
        <f t="shared" ca="1" si="1"/>
        <v>46143</v>
      </c>
      <c r="P12" s="8">
        <f t="shared" ca="1" si="2"/>
        <v>46143.95781284722</v>
      </c>
      <c r="Q12">
        <f t="shared" si="3"/>
        <v>245</v>
      </c>
      <c r="R12" s="3">
        <f t="shared" si="4"/>
        <v>45412</v>
      </c>
      <c r="T12" t="str">
        <v>East</v>
      </c>
    </row>
    <row r="13" spans="1:20" ht="29.4" thickBot="1" x14ac:dyDescent="0.35">
      <c r="A13" s="2" t="s">
        <v>140</v>
      </c>
      <c r="B13" s="4">
        <v>45440</v>
      </c>
      <c r="C13" s="2" t="s">
        <v>141</v>
      </c>
      <c r="D13" s="2" t="s">
        <v>142</v>
      </c>
      <c r="E13" s="2" t="s">
        <v>80</v>
      </c>
      <c r="F13" s="2" t="s">
        <v>81</v>
      </c>
      <c r="G13" s="2" t="s">
        <v>19</v>
      </c>
      <c r="H13" s="21">
        <v>5</v>
      </c>
      <c r="I13" s="21">
        <v>699.99</v>
      </c>
      <c r="J13" s="2" t="s">
        <v>34</v>
      </c>
      <c r="K13" s="2" t="s">
        <v>50</v>
      </c>
      <c r="L13" s="2" t="s">
        <v>36</v>
      </c>
      <c r="M13" s="4">
        <v>44407</v>
      </c>
      <c r="N13" s="5">
        <f t="shared" si="0"/>
        <v>3499.95</v>
      </c>
      <c r="O13" s="3">
        <f t="shared" ca="1" si="1"/>
        <v>46143</v>
      </c>
      <c r="P13" s="8">
        <f t="shared" ca="1" si="2"/>
        <v>46143.95781284722</v>
      </c>
      <c r="Q13">
        <f t="shared" si="3"/>
        <v>1033</v>
      </c>
      <c r="R13" s="3">
        <f t="shared" si="4"/>
        <v>45443</v>
      </c>
      <c r="T13" t="str">
        <v>East</v>
      </c>
    </row>
    <row r="14" spans="1:20" ht="29.4" thickBot="1" x14ac:dyDescent="0.35">
      <c r="A14" s="2" t="s">
        <v>268</v>
      </c>
      <c r="B14" s="4">
        <v>45581</v>
      </c>
      <c r="C14" s="2" t="s">
        <v>96</v>
      </c>
      <c r="D14" s="2" t="s">
        <v>97</v>
      </c>
      <c r="E14" s="2" t="s">
        <v>80</v>
      </c>
      <c r="F14" s="2" t="s">
        <v>81</v>
      </c>
      <c r="G14" s="2" t="s">
        <v>19</v>
      </c>
      <c r="H14" s="21">
        <v>5</v>
      </c>
      <c r="I14" s="21">
        <v>699.99</v>
      </c>
      <c r="J14" s="2" t="s">
        <v>20</v>
      </c>
      <c r="K14" s="2" t="s">
        <v>63</v>
      </c>
      <c r="L14" s="2" t="s">
        <v>36</v>
      </c>
      <c r="M14" s="4">
        <v>45008</v>
      </c>
      <c r="N14" s="5">
        <f t="shared" si="0"/>
        <v>3499.95</v>
      </c>
      <c r="O14" s="3">
        <f t="shared" ca="1" si="1"/>
        <v>46143</v>
      </c>
      <c r="P14" s="8">
        <f t="shared" ca="1" si="2"/>
        <v>46143.95781284722</v>
      </c>
      <c r="Q14">
        <f t="shared" si="3"/>
        <v>573</v>
      </c>
      <c r="R14" s="3">
        <f t="shared" si="4"/>
        <v>45596</v>
      </c>
      <c r="T14" t="str">
        <v>East</v>
      </c>
    </row>
    <row r="15" spans="1:20" ht="29.4" thickBot="1" x14ac:dyDescent="0.35">
      <c r="A15" s="2" t="s">
        <v>275</v>
      </c>
      <c r="B15" s="4">
        <v>45589</v>
      </c>
      <c r="C15" s="2" t="s">
        <v>158</v>
      </c>
      <c r="D15" s="2" t="s">
        <v>159</v>
      </c>
      <c r="E15" s="2" t="s">
        <v>80</v>
      </c>
      <c r="F15" s="2" t="s">
        <v>81</v>
      </c>
      <c r="G15" s="2" t="s">
        <v>19</v>
      </c>
      <c r="H15" s="21">
        <v>5</v>
      </c>
      <c r="I15" s="21">
        <v>699.99</v>
      </c>
      <c r="J15" s="2" t="s">
        <v>20</v>
      </c>
      <c r="K15" s="2" t="s">
        <v>40</v>
      </c>
      <c r="L15" s="2" t="s">
        <v>27</v>
      </c>
      <c r="M15" s="4">
        <v>44635</v>
      </c>
      <c r="N15" s="5">
        <f t="shared" si="0"/>
        <v>3499.95</v>
      </c>
      <c r="O15" s="3">
        <f t="shared" ca="1" si="1"/>
        <v>46143</v>
      </c>
      <c r="P15" s="8">
        <f t="shared" ca="1" si="2"/>
        <v>46143.95781284722</v>
      </c>
      <c r="Q15">
        <f t="shared" si="3"/>
        <v>954</v>
      </c>
      <c r="R15" s="3">
        <f t="shared" si="4"/>
        <v>45596</v>
      </c>
      <c r="T15" t="str">
        <v>East</v>
      </c>
    </row>
    <row r="16" spans="1:20" ht="29.4" thickBot="1" x14ac:dyDescent="0.35">
      <c r="A16" s="2" t="s">
        <v>299</v>
      </c>
      <c r="B16" s="4">
        <v>45627</v>
      </c>
      <c r="C16" s="2" t="s">
        <v>86</v>
      </c>
      <c r="D16" s="2" t="s">
        <v>87</v>
      </c>
      <c r="E16" s="2" t="s">
        <v>80</v>
      </c>
      <c r="F16" s="2" t="s">
        <v>81</v>
      </c>
      <c r="G16" s="2" t="s">
        <v>19</v>
      </c>
      <c r="H16" s="21">
        <v>5</v>
      </c>
      <c r="I16" s="21">
        <v>699.99</v>
      </c>
      <c r="J16" s="2" t="s">
        <v>57</v>
      </c>
      <c r="K16" s="2" t="s">
        <v>50</v>
      </c>
      <c r="L16" s="2" t="s">
        <v>36</v>
      </c>
      <c r="M16" s="4">
        <v>44944</v>
      </c>
      <c r="N16" s="5">
        <f t="shared" si="0"/>
        <v>3499.95</v>
      </c>
      <c r="O16" s="3">
        <f t="shared" ca="1" si="1"/>
        <v>46143</v>
      </c>
      <c r="P16" s="8">
        <f t="shared" ca="1" si="2"/>
        <v>46143.95781284722</v>
      </c>
      <c r="Q16">
        <f t="shared" si="3"/>
        <v>683</v>
      </c>
      <c r="R16" s="3">
        <f t="shared" si="4"/>
        <v>45657</v>
      </c>
      <c r="T16" t="str">
        <v>East</v>
      </c>
    </row>
    <row r="17" spans="1:20" ht="29.4" thickBot="1" x14ac:dyDescent="0.35">
      <c r="A17" s="2" t="s">
        <v>359</v>
      </c>
      <c r="B17" s="4">
        <v>45707</v>
      </c>
      <c r="C17" s="2" t="s">
        <v>123</v>
      </c>
      <c r="D17" s="2" t="s">
        <v>124</v>
      </c>
      <c r="E17" s="2" t="s">
        <v>80</v>
      </c>
      <c r="F17" s="2" t="s">
        <v>81</v>
      </c>
      <c r="G17" s="2" t="s">
        <v>19</v>
      </c>
      <c r="H17" s="21">
        <v>5</v>
      </c>
      <c r="I17" s="21">
        <v>699.99</v>
      </c>
      <c r="J17" s="2" t="s">
        <v>34</v>
      </c>
      <c r="K17" s="2" t="s">
        <v>35</v>
      </c>
      <c r="L17" s="2" t="s">
        <v>27</v>
      </c>
      <c r="M17" s="4">
        <v>45352</v>
      </c>
      <c r="N17" s="5">
        <f t="shared" si="0"/>
        <v>3499.95</v>
      </c>
      <c r="O17" s="3">
        <f t="shared" ca="1" si="1"/>
        <v>46143</v>
      </c>
      <c r="P17" s="8">
        <f t="shared" ca="1" si="2"/>
        <v>46143.95781284722</v>
      </c>
      <c r="Q17">
        <f t="shared" si="3"/>
        <v>355</v>
      </c>
      <c r="R17" s="3">
        <f t="shared" si="4"/>
        <v>45716</v>
      </c>
      <c r="T17" t="str">
        <v>East</v>
      </c>
    </row>
    <row r="18" spans="1:20" ht="29.4" thickBot="1" x14ac:dyDescent="0.35">
      <c r="A18" s="2" t="s">
        <v>372</v>
      </c>
      <c r="B18" s="4">
        <v>45720</v>
      </c>
      <c r="C18" s="2" t="s">
        <v>226</v>
      </c>
      <c r="D18" s="2" t="s">
        <v>227</v>
      </c>
      <c r="E18" s="2" t="s">
        <v>80</v>
      </c>
      <c r="F18" s="2" t="s">
        <v>81</v>
      </c>
      <c r="G18" s="2" t="s">
        <v>19</v>
      </c>
      <c r="H18" s="21">
        <v>5</v>
      </c>
      <c r="I18" s="21">
        <v>699.99</v>
      </c>
      <c r="J18" s="2" t="s">
        <v>57</v>
      </c>
      <c r="K18" s="2" t="s">
        <v>63</v>
      </c>
      <c r="L18" s="2" t="s">
        <v>27</v>
      </c>
      <c r="M18" s="4">
        <v>45161</v>
      </c>
      <c r="N18" s="5">
        <f t="shared" si="0"/>
        <v>3499.95</v>
      </c>
      <c r="O18" s="3">
        <f t="shared" ca="1" si="1"/>
        <v>46143</v>
      </c>
      <c r="P18" s="8">
        <f t="shared" ca="1" si="2"/>
        <v>46143.95781284722</v>
      </c>
      <c r="Q18">
        <f t="shared" si="3"/>
        <v>559</v>
      </c>
      <c r="R18" s="3">
        <f t="shared" si="4"/>
        <v>45747</v>
      </c>
      <c r="T18" t="str">
        <v>East</v>
      </c>
    </row>
    <row r="19" spans="1:20" ht="29.4" thickBot="1" x14ac:dyDescent="0.35">
      <c r="A19" s="2" t="s">
        <v>98</v>
      </c>
      <c r="B19" s="4">
        <v>45413</v>
      </c>
      <c r="C19" s="2" t="s">
        <v>99</v>
      </c>
      <c r="D19" s="2" t="s">
        <v>100</v>
      </c>
      <c r="E19" s="2" t="s">
        <v>80</v>
      </c>
      <c r="F19" s="2" t="s">
        <v>81</v>
      </c>
      <c r="G19" s="2" t="s">
        <v>19</v>
      </c>
      <c r="H19" s="21">
        <v>4</v>
      </c>
      <c r="I19" s="21">
        <v>699.99</v>
      </c>
      <c r="J19" s="2" t="s">
        <v>20</v>
      </c>
      <c r="K19" s="2" t="s">
        <v>63</v>
      </c>
      <c r="L19" s="2" t="s">
        <v>36</v>
      </c>
      <c r="M19" s="4">
        <v>44409</v>
      </c>
      <c r="N19" s="5">
        <f t="shared" si="0"/>
        <v>2799.96</v>
      </c>
      <c r="O19" s="3">
        <f t="shared" ca="1" si="1"/>
        <v>46143</v>
      </c>
      <c r="P19" s="8">
        <f t="shared" ca="1" si="2"/>
        <v>46143.95781284722</v>
      </c>
      <c r="Q19">
        <f t="shared" si="3"/>
        <v>1004</v>
      </c>
      <c r="R19" s="3">
        <f t="shared" si="4"/>
        <v>45443</v>
      </c>
      <c r="T19" t="str">
        <v>East</v>
      </c>
    </row>
    <row r="20" spans="1:20" ht="43.8" thickBot="1" x14ac:dyDescent="0.35">
      <c r="A20" s="2" t="s">
        <v>254</v>
      </c>
      <c r="B20" s="4">
        <v>45554</v>
      </c>
      <c r="C20" s="2" t="s">
        <v>72</v>
      </c>
      <c r="D20" s="2" t="s">
        <v>73</v>
      </c>
      <c r="E20" s="2" t="s">
        <v>80</v>
      </c>
      <c r="F20" s="2" t="s">
        <v>81</v>
      </c>
      <c r="G20" s="2" t="s">
        <v>19</v>
      </c>
      <c r="H20" s="21">
        <v>4</v>
      </c>
      <c r="I20" s="21">
        <v>699.99</v>
      </c>
      <c r="J20" s="2" t="s">
        <v>34</v>
      </c>
      <c r="K20" s="2" t="s">
        <v>35</v>
      </c>
      <c r="L20" s="2" t="s">
        <v>22</v>
      </c>
      <c r="M20" s="4">
        <v>44618</v>
      </c>
      <c r="N20" s="5">
        <f t="shared" si="0"/>
        <v>2799.96</v>
      </c>
      <c r="O20" s="3">
        <f t="shared" ca="1" si="1"/>
        <v>46143</v>
      </c>
      <c r="P20" s="8">
        <f t="shared" ca="1" si="2"/>
        <v>46143.95781284722</v>
      </c>
      <c r="Q20">
        <f t="shared" si="3"/>
        <v>936</v>
      </c>
      <c r="R20" s="3">
        <f t="shared" si="4"/>
        <v>45565</v>
      </c>
      <c r="T20" t="str">
        <v>East</v>
      </c>
    </row>
    <row r="21" spans="1:20" ht="29.4" thickBot="1" x14ac:dyDescent="0.35">
      <c r="A21" s="2" t="s">
        <v>269</v>
      </c>
      <c r="B21" s="4">
        <v>45581</v>
      </c>
      <c r="C21" s="2" t="s">
        <v>171</v>
      </c>
      <c r="D21" s="2" t="s">
        <v>172</v>
      </c>
      <c r="E21" s="2" t="s">
        <v>80</v>
      </c>
      <c r="F21" s="2" t="s">
        <v>81</v>
      </c>
      <c r="G21" s="2" t="s">
        <v>19</v>
      </c>
      <c r="H21" s="21">
        <v>4</v>
      </c>
      <c r="I21" s="21">
        <v>699.99</v>
      </c>
      <c r="J21" s="2" t="s">
        <v>26</v>
      </c>
      <c r="K21" s="2" t="s">
        <v>21</v>
      </c>
      <c r="L21" s="2" t="s">
        <v>22</v>
      </c>
      <c r="M21" s="4">
        <v>45385</v>
      </c>
      <c r="N21" s="5">
        <f t="shared" si="0"/>
        <v>2799.96</v>
      </c>
      <c r="O21" s="3">
        <f t="shared" ca="1" si="1"/>
        <v>46143</v>
      </c>
      <c r="P21" s="8">
        <f t="shared" ca="1" si="2"/>
        <v>46143.95781284722</v>
      </c>
      <c r="Q21">
        <f t="shared" si="3"/>
        <v>196</v>
      </c>
      <c r="R21" s="3">
        <f t="shared" si="4"/>
        <v>45596</v>
      </c>
      <c r="T21" t="str">
        <v>East</v>
      </c>
    </row>
    <row r="22" spans="1:20" ht="29.4" thickBot="1" x14ac:dyDescent="0.35">
      <c r="A22" s="2" t="s">
        <v>301</v>
      </c>
      <c r="B22" s="4">
        <v>45630</v>
      </c>
      <c r="C22" s="2" t="s">
        <v>48</v>
      </c>
      <c r="D22" s="2" t="s">
        <v>49</v>
      </c>
      <c r="E22" s="2" t="s">
        <v>80</v>
      </c>
      <c r="F22" s="2" t="s">
        <v>81</v>
      </c>
      <c r="G22" s="2" t="s">
        <v>19</v>
      </c>
      <c r="H22" s="21">
        <v>4</v>
      </c>
      <c r="I22" s="21">
        <v>699.99</v>
      </c>
      <c r="J22" s="2" t="s">
        <v>26</v>
      </c>
      <c r="K22" s="2" t="s">
        <v>40</v>
      </c>
      <c r="L22" s="2" t="s">
        <v>27</v>
      </c>
      <c r="M22" s="4">
        <v>44703</v>
      </c>
      <c r="N22" s="5">
        <f t="shared" si="0"/>
        <v>2799.96</v>
      </c>
      <c r="O22" s="3">
        <f t="shared" ca="1" si="1"/>
        <v>46143</v>
      </c>
      <c r="P22" s="8">
        <f t="shared" ca="1" si="2"/>
        <v>46143.95781284722</v>
      </c>
      <c r="Q22">
        <f t="shared" si="3"/>
        <v>927</v>
      </c>
      <c r="R22" s="3">
        <f t="shared" si="4"/>
        <v>45657</v>
      </c>
      <c r="T22" t="str">
        <v>East</v>
      </c>
    </row>
    <row r="23" spans="1:20" ht="29.4" thickBot="1" x14ac:dyDescent="0.35">
      <c r="A23" s="2" t="s">
        <v>348</v>
      </c>
      <c r="B23" s="4">
        <v>45688</v>
      </c>
      <c r="C23" s="2" t="s">
        <v>65</v>
      </c>
      <c r="D23" s="2" t="s">
        <v>66</v>
      </c>
      <c r="E23" s="2" t="s">
        <v>80</v>
      </c>
      <c r="F23" s="2" t="s">
        <v>81</v>
      </c>
      <c r="G23" s="2" t="s">
        <v>19</v>
      </c>
      <c r="H23" s="21">
        <v>4</v>
      </c>
      <c r="I23" s="21">
        <v>699.99</v>
      </c>
      <c r="J23" s="2" t="s">
        <v>57</v>
      </c>
      <c r="K23" s="2" t="s">
        <v>50</v>
      </c>
      <c r="L23" s="2" t="s">
        <v>27</v>
      </c>
      <c r="M23" s="4">
        <v>44692</v>
      </c>
      <c r="N23" s="5">
        <f t="shared" si="0"/>
        <v>2799.96</v>
      </c>
      <c r="O23" s="3">
        <f t="shared" ca="1" si="1"/>
        <v>46143</v>
      </c>
      <c r="P23" s="8">
        <f t="shared" ca="1" si="2"/>
        <v>46143.95781284722</v>
      </c>
      <c r="Q23">
        <f t="shared" si="3"/>
        <v>996</v>
      </c>
      <c r="R23" s="3">
        <f t="shared" si="4"/>
        <v>45688</v>
      </c>
      <c r="T23" t="str">
        <v>East</v>
      </c>
    </row>
    <row r="24" spans="1:20" ht="29.4" thickBot="1" x14ac:dyDescent="0.35">
      <c r="A24" s="2" t="s">
        <v>58</v>
      </c>
      <c r="B24" s="4">
        <v>45405</v>
      </c>
      <c r="C24" s="2" t="s">
        <v>59</v>
      </c>
      <c r="D24" s="2" t="s">
        <v>60</v>
      </c>
      <c r="E24" s="2" t="s">
        <v>61</v>
      </c>
      <c r="F24" s="2" t="s">
        <v>62</v>
      </c>
      <c r="G24" s="2" t="s">
        <v>19</v>
      </c>
      <c r="H24" s="21">
        <v>3</v>
      </c>
      <c r="I24" s="21">
        <v>899.99</v>
      </c>
      <c r="J24" s="2" t="s">
        <v>34</v>
      </c>
      <c r="K24" s="2" t="s">
        <v>63</v>
      </c>
      <c r="L24" s="2" t="s">
        <v>36</v>
      </c>
      <c r="M24" s="4">
        <v>45299</v>
      </c>
      <c r="N24" s="5">
        <f t="shared" si="0"/>
        <v>2699.9700000000003</v>
      </c>
      <c r="O24" s="3">
        <f t="shared" ca="1" si="1"/>
        <v>46143</v>
      </c>
      <c r="P24" s="8">
        <f t="shared" ca="1" si="2"/>
        <v>46143.95781284722</v>
      </c>
      <c r="Q24">
        <f t="shared" si="3"/>
        <v>106</v>
      </c>
      <c r="R24" s="3">
        <f t="shared" si="4"/>
        <v>45412</v>
      </c>
      <c r="T24" t="str">
        <v>East</v>
      </c>
    </row>
    <row r="25" spans="1:20" ht="29.4" thickBot="1" x14ac:dyDescent="0.35">
      <c r="A25" s="2" t="s">
        <v>255</v>
      </c>
      <c r="B25" s="4">
        <v>45559</v>
      </c>
      <c r="C25" s="2" t="s">
        <v>234</v>
      </c>
      <c r="D25" s="2" t="s">
        <v>235</v>
      </c>
      <c r="E25" s="2" t="s">
        <v>61</v>
      </c>
      <c r="F25" s="2" t="s">
        <v>62</v>
      </c>
      <c r="G25" s="2" t="s">
        <v>19</v>
      </c>
      <c r="H25" s="21">
        <v>3</v>
      </c>
      <c r="I25" s="21">
        <v>899.99</v>
      </c>
      <c r="J25" s="2" t="s">
        <v>26</v>
      </c>
      <c r="K25" s="2" t="s">
        <v>40</v>
      </c>
      <c r="L25" s="2" t="s">
        <v>36</v>
      </c>
      <c r="M25" s="4">
        <v>45157</v>
      </c>
      <c r="N25" s="5">
        <f t="shared" si="0"/>
        <v>2699.9700000000003</v>
      </c>
      <c r="O25" s="3">
        <f t="shared" ca="1" si="1"/>
        <v>46143</v>
      </c>
      <c r="P25" s="8">
        <f t="shared" ca="1" si="2"/>
        <v>46143.95781284722</v>
      </c>
      <c r="Q25">
        <f t="shared" si="3"/>
        <v>402</v>
      </c>
      <c r="R25" s="3">
        <f t="shared" si="4"/>
        <v>45565</v>
      </c>
      <c r="T25" t="str">
        <v>East</v>
      </c>
    </row>
    <row r="26" spans="1:20" ht="29.4" thickBot="1" x14ac:dyDescent="0.35">
      <c r="A26" s="2" t="s">
        <v>267</v>
      </c>
      <c r="B26" s="4">
        <v>45579</v>
      </c>
      <c r="C26" s="2" t="s">
        <v>83</v>
      </c>
      <c r="D26" s="2" t="s">
        <v>84</v>
      </c>
      <c r="E26" s="2" t="s">
        <v>61</v>
      </c>
      <c r="F26" s="2" t="s">
        <v>62</v>
      </c>
      <c r="G26" s="2" t="s">
        <v>19</v>
      </c>
      <c r="H26" s="21">
        <v>3</v>
      </c>
      <c r="I26" s="21">
        <v>899.99</v>
      </c>
      <c r="J26" s="2" t="s">
        <v>34</v>
      </c>
      <c r="K26" s="2" t="s">
        <v>50</v>
      </c>
      <c r="L26" s="2" t="s">
        <v>22</v>
      </c>
      <c r="M26" s="4">
        <v>45215</v>
      </c>
      <c r="N26" s="5">
        <f t="shared" si="0"/>
        <v>2699.9700000000003</v>
      </c>
      <c r="O26" s="3">
        <f t="shared" ca="1" si="1"/>
        <v>46143</v>
      </c>
      <c r="P26" s="8">
        <f t="shared" ca="1" si="2"/>
        <v>46143.95781284722</v>
      </c>
      <c r="Q26">
        <f t="shared" si="3"/>
        <v>364</v>
      </c>
      <c r="R26" s="3">
        <f t="shared" si="4"/>
        <v>45596</v>
      </c>
      <c r="T26" t="str">
        <v>East</v>
      </c>
    </row>
    <row r="27" spans="1:20" ht="29.4" thickBot="1" x14ac:dyDescent="0.35">
      <c r="A27" s="2" t="s">
        <v>361</v>
      </c>
      <c r="B27" s="4">
        <v>45708</v>
      </c>
      <c r="C27" s="2" t="s">
        <v>96</v>
      </c>
      <c r="D27" s="2" t="s">
        <v>97</v>
      </c>
      <c r="E27" s="2" t="s">
        <v>61</v>
      </c>
      <c r="F27" s="2" t="s">
        <v>62</v>
      </c>
      <c r="G27" s="2" t="s">
        <v>19</v>
      </c>
      <c r="H27" s="21">
        <v>3</v>
      </c>
      <c r="I27" s="21">
        <v>899.99</v>
      </c>
      <c r="J27" s="2" t="s">
        <v>20</v>
      </c>
      <c r="K27" s="2" t="s">
        <v>63</v>
      </c>
      <c r="L27" s="2" t="s">
        <v>36</v>
      </c>
      <c r="M27" s="4">
        <v>44613</v>
      </c>
      <c r="N27" s="5">
        <f t="shared" si="0"/>
        <v>2699.9700000000003</v>
      </c>
      <c r="O27" s="3">
        <f t="shared" ca="1" si="1"/>
        <v>46143</v>
      </c>
      <c r="P27" s="8">
        <f t="shared" ca="1" si="2"/>
        <v>46143.95781284722</v>
      </c>
      <c r="Q27">
        <f t="shared" si="3"/>
        <v>1095</v>
      </c>
      <c r="R27" s="3">
        <f t="shared" si="4"/>
        <v>45716</v>
      </c>
      <c r="T27" t="str">
        <v>East</v>
      </c>
    </row>
    <row r="28" spans="1:20" ht="29.4" thickBot="1" x14ac:dyDescent="0.35">
      <c r="A28" s="2" t="s">
        <v>382</v>
      </c>
      <c r="B28" s="4">
        <v>45737</v>
      </c>
      <c r="C28" s="2" t="s">
        <v>150</v>
      </c>
      <c r="D28" s="2" t="s">
        <v>151</v>
      </c>
      <c r="E28" s="2" t="s">
        <v>61</v>
      </c>
      <c r="F28" s="2" t="s">
        <v>62</v>
      </c>
      <c r="G28" s="2" t="s">
        <v>19</v>
      </c>
      <c r="H28" s="21">
        <v>3</v>
      </c>
      <c r="I28" s="21">
        <v>899.99</v>
      </c>
      <c r="J28" s="2" t="s">
        <v>57</v>
      </c>
      <c r="K28" s="2" t="s">
        <v>40</v>
      </c>
      <c r="L28" s="2" t="s">
        <v>27</v>
      </c>
      <c r="M28" s="4">
        <v>44876</v>
      </c>
      <c r="N28" s="5">
        <f t="shared" si="0"/>
        <v>2699.9700000000003</v>
      </c>
      <c r="O28" s="3">
        <f t="shared" ca="1" si="1"/>
        <v>46143</v>
      </c>
      <c r="P28" s="8">
        <f t="shared" ca="1" si="2"/>
        <v>46143.95781284722</v>
      </c>
      <c r="Q28">
        <f t="shared" si="3"/>
        <v>861</v>
      </c>
      <c r="R28" s="3">
        <f t="shared" si="4"/>
        <v>45747</v>
      </c>
      <c r="T28" t="str">
        <v>East</v>
      </c>
    </row>
    <row r="29" spans="1:20" ht="29.4" thickBot="1" x14ac:dyDescent="0.35">
      <c r="A29" s="2" t="s">
        <v>383</v>
      </c>
      <c r="B29" s="4">
        <v>45737</v>
      </c>
      <c r="C29" s="2" t="s">
        <v>48</v>
      </c>
      <c r="D29" s="2" t="s">
        <v>49</v>
      </c>
      <c r="E29" s="2" t="s">
        <v>61</v>
      </c>
      <c r="F29" s="2" t="s">
        <v>62</v>
      </c>
      <c r="G29" s="2" t="s">
        <v>19</v>
      </c>
      <c r="H29" s="21">
        <v>3</v>
      </c>
      <c r="I29" s="21">
        <v>899.99</v>
      </c>
      <c r="J29" s="2" t="s">
        <v>34</v>
      </c>
      <c r="K29" s="2" t="s">
        <v>40</v>
      </c>
      <c r="L29" s="2" t="s">
        <v>22</v>
      </c>
      <c r="M29" s="4">
        <v>44975</v>
      </c>
      <c r="N29" s="5">
        <f t="shared" si="0"/>
        <v>2699.9700000000003</v>
      </c>
      <c r="O29" s="3">
        <f t="shared" ca="1" si="1"/>
        <v>46143</v>
      </c>
      <c r="P29" s="8">
        <f t="shared" ca="1" si="2"/>
        <v>46143.95781284722</v>
      </c>
      <c r="Q29">
        <f t="shared" si="3"/>
        <v>762</v>
      </c>
      <c r="R29" s="3">
        <f t="shared" si="4"/>
        <v>45747</v>
      </c>
      <c r="T29" t="str">
        <v>East</v>
      </c>
    </row>
    <row r="30" spans="1:20" ht="29.4" thickBot="1" x14ac:dyDescent="0.35">
      <c r="A30" s="2" t="s">
        <v>393</v>
      </c>
      <c r="B30" s="4">
        <v>45749</v>
      </c>
      <c r="C30" s="2" t="s">
        <v>123</v>
      </c>
      <c r="D30" s="2" t="s">
        <v>124</v>
      </c>
      <c r="E30" s="2" t="s">
        <v>61</v>
      </c>
      <c r="F30" s="2" t="s">
        <v>62</v>
      </c>
      <c r="G30" s="2" t="s">
        <v>19</v>
      </c>
      <c r="H30" s="21">
        <v>3</v>
      </c>
      <c r="I30" s="21">
        <v>899.99</v>
      </c>
      <c r="J30" s="2" t="s">
        <v>20</v>
      </c>
      <c r="K30" s="2" t="s">
        <v>21</v>
      </c>
      <c r="L30" s="2" t="s">
        <v>36</v>
      </c>
      <c r="M30" s="4">
        <v>44953</v>
      </c>
      <c r="N30" s="5">
        <f t="shared" si="0"/>
        <v>2699.9700000000003</v>
      </c>
      <c r="O30" s="3">
        <f t="shared" ca="1" si="1"/>
        <v>46143</v>
      </c>
      <c r="P30" s="8">
        <f t="shared" ca="1" si="2"/>
        <v>46143.95781284722</v>
      </c>
      <c r="Q30">
        <f t="shared" si="3"/>
        <v>796</v>
      </c>
      <c r="R30" s="3">
        <f t="shared" si="4"/>
        <v>45777</v>
      </c>
      <c r="T30" t="str">
        <v>East</v>
      </c>
    </row>
    <row r="31" spans="1:20" ht="29.4" thickBot="1" x14ac:dyDescent="0.35">
      <c r="A31" s="2" t="s">
        <v>77</v>
      </c>
      <c r="B31" s="4">
        <v>45409</v>
      </c>
      <c r="C31" s="2" t="s">
        <v>78</v>
      </c>
      <c r="D31" s="2" t="s">
        <v>79</v>
      </c>
      <c r="E31" s="2" t="s">
        <v>80</v>
      </c>
      <c r="F31" s="2" t="s">
        <v>81</v>
      </c>
      <c r="G31" s="2" t="s">
        <v>19</v>
      </c>
      <c r="H31" s="21">
        <v>3</v>
      </c>
      <c r="I31" s="21">
        <v>699.99</v>
      </c>
      <c r="J31" s="2" t="s">
        <v>26</v>
      </c>
      <c r="K31" s="2" t="s">
        <v>50</v>
      </c>
      <c r="L31" s="2" t="s">
        <v>22</v>
      </c>
      <c r="M31" s="4">
        <v>44577</v>
      </c>
      <c r="N31" s="5">
        <f t="shared" si="0"/>
        <v>2099.9700000000003</v>
      </c>
      <c r="O31" s="3">
        <f t="shared" ca="1" si="1"/>
        <v>46143</v>
      </c>
      <c r="P31" s="8">
        <f t="shared" ca="1" si="2"/>
        <v>46143.95781284722</v>
      </c>
      <c r="Q31">
        <f t="shared" si="3"/>
        <v>832</v>
      </c>
      <c r="R31" s="3">
        <f t="shared" si="4"/>
        <v>45412</v>
      </c>
      <c r="T31" t="str">
        <v>East</v>
      </c>
    </row>
    <row r="32" spans="1:20" ht="29.4" thickBot="1" x14ac:dyDescent="0.35">
      <c r="A32" s="2" t="s">
        <v>175</v>
      </c>
      <c r="B32" s="4">
        <v>45471</v>
      </c>
      <c r="C32" s="2" t="s">
        <v>38</v>
      </c>
      <c r="D32" s="2" t="s">
        <v>39</v>
      </c>
      <c r="E32" s="2" t="s">
        <v>80</v>
      </c>
      <c r="F32" s="2" t="s">
        <v>81</v>
      </c>
      <c r="G32" s="2" t="s">
        <v>19</v>
      </c>
      <c r="H32" s="21">
        <v>3</v>
      </c>
      <c r="I32" s="21">
        <v>699.99</v>
      </c>
      <c r="J32" s="2" t="s">
        <v>26</v>
      </c>
      <c r="K32" s="2" t="s">
        <v>63</v>
      </c>
      <c r="L32" s="2" t="s">
        <v>27</v>
      </c>
      <c r="M32" s="4">
        <v>45102</v>
      </c>
      <c r="N32" s="5">
        <f t="shared" si="0"/>
        <v>2099.9700000000003</v>
      </c>
      <c r="O32" s="3">
        <f t="shared" ca="1" si="1"/>
        <v>46143</v>
      </c>
      <c r="P32" s="8">
        <f t="shared" ca="1" si="2"/>
        <v>46143.95781284722</v>
      </c>
      <c r="Q32">
        <f t="shared" si="3"/>
        <v>369</v>
      </c>
      <c r="R32" s="3">
        <f t="shared" si="4"/>
        <v>45473</v>
      </c>
      <c r="T32" t="str">
        <v>East</v>
      </c>
    </row>
    <row r="33" spans="1:20" ht="29.4" thickBot="1" x14ac:dyDescent="0.35">
      <c r="A33" s="2" t="s">
        <v>291</v>
      </c>
      <c r="B33" s="4">
        <v>45619</v>
      </c>
      <c r="C33" s="2" t="s">
        <v>154</v>
      </c>
      <c r="D33" s="2" t="s">
        <v>155</v>
      </c>
      <c r="E33" s="2" t="s">
        <v>80</v>
      </c>
      <c r="F33" s="2" t="s">
        <v>81</v>
      </c>
      <c r="G33" s="2" t="s">
        <v>19</v>
      </c>
      <c r="H33" s="21">
        <v>3</v>
      </c>
      <c r="I33" s="21">
        <v>699.99</v>
      </c>
      <c r="J33" s="2" t="s">
        <v>34</v>
      </c>
      <c r="K33" s="2" t="s">
        <v>50</v>
      </c>
      <c r="L33" s="2" t="s">
        <v>36</v>
      </c>
      <c r="M33" s="4">
        <v>44583</v>
      </c>
      <c r="N33" s="5">
        <f t="shared" si="0"/>
        <v>2099.9700000000003</v>
      </c>
      <c r="O33" s="3">
        <f t="shared" ca="1" si="1"/>
        <v>46143</v>
      </c>
      <c r="P33" s="8">
        <f t="shared" ca="1" si="2"/>
        <v>46143.95781284722</v>
      </c>
      <c r="Q33">
        <f t="shared" si="3"/>
        <v>1036</v>
      </c>
      <c r="R33" s="3">
        <f t="shared" si="4"/>
        <v>45626</v>
      </c>
      <c r="T33" t="str">
        <v>East</v>
      </c>
    </row>
    <row r="34" spans="1:20" ht="29.4" thickBot="1" x14ac:dyDescent="0.35">
      <c r="A34" s="2" t="s">
        <v>329</v>
      </c>
      <c r="B34" s="4">
        <v>45666</v>
      </c>
      <c r="C34" s="2" t="s">
        <v>65</v>
      </c>
      <c r="D34" s="2" t="s">
        <v>66</v>
      </c>
      <c r="E34" s="2" t="s">
        <v>80</v>
      </c>
      <c r="F34" s="2" t="s">
        <v>81</v>
      </c>
      <c r="G34" s="2" t="s">
        <v>19</v>
      </c>
      <c r="H34" s="21">
        <v>3</v>
      </c>
      <c r="I34" s="21">
        <v>699.99</v>
      </c>
      <c r="J34" s="2" t="s">
        <v>26</v>
      </c>
      <c r="K34" s="2" t="s">
        <v>21</v>
      </c>
      <c r="L34" s="2" t="s">
        <v>27</v>
      </c>
      <c r="M34" s="4">
        <v>45105</v>
      </c>
      <c r="N34" s="5">
        <f t="shared" si="0"/>
        <v>2099.9700000000003</v>
      </c>
      <c r="O34" s="3">
        <f t="shared" ca="1" si="1"/>
        <v>46143</v>
      </c>
      <c r="P34" s="8">
        <f t="shared" ca="1" si="2"/>
        <v>46143.95781284722</v>
      </c>
      <c r="Q34">
        <f t="shared" si="3"/>
        <v>561</v>
      </c>
      <c r="R34" s="3">
        <f t="shared" si="4"/>
        <v>45688</v>
      </c>
      <c r="T34" t="str">
        <v>East</v>
      </c>
    </row>
    <row r="35" spans="1:20" ht="29.4" thickBot="1" x14ac:dyDescent="0.35">
      <c r="A35" s="2" t="s">
        <v>333</v>
      </c>
      <c r="B35" s="4">
        <v>45668</v>
      </c>
      <c r="C35" s="2" t="s">
        <v>78</v>
      </c>
      <c r="D35" s="2" t="s">
        <v>79</v>
      </c>
      <c r="E35" s="2" t="s">
        <v>80</v>
      </c>
      <c r="F35" s="2" t="s">
        <v>81</v>
      </c>
      <c r="G35" s="2" t="s">
        <v>19</v>
      </c>
      <c r="H35" s="21">
        <v>3</v>
      </c>
      <c r="I35" s="21">
        <v>699.99</v>
      </c>
      <c r="J35" s="2" t="s">
        <v>20</v>
      </c>
      <c r="K35" s="2" t="s">
        <v>40</v>
      </c>
      <c r="L35" s="2" t="s">
        <v>27</v>
      </c>
      <c r="M35" s="4">
        <v>44602</v>
      </c>
      <c r="N35" s="5">
        <f t="shared" si="0"/>
        <v>2099.9700000000003</v>
      </c>
      <c r="O35" s="3">
        <f t="shared" ca="1" si="1"/>
        <v>46143</v>
      </c>
      <c r="P35" s="8">
        <f t="shared" ca="1" si="2"/>
        <v>46143.95781284722</v>
      </c>
      <c r="Q35">
        <f t="shared" si="3"/>
        <v>1066</v>
      </c>
      <c r="R35" s="3">
        <f t="shared" si="4"/>
        <v>45688</v>
      </c>
      <c r="T35" t="str">
        <v>East</v>
      </c>
    </row>
    <row r="36" spans="1:20" ht="29.4" thickBot="1" x14ac:dyDescent="0.35">
      <c r="A36" s="2" t="s">
        <v>396</v>
      </c>
      <c r="B36" s="4">
        <v>45758</v>
      </c>
      <c r="C36" s="2" t="s">
        <v>293</v>
      </c>
      <c r="D36" s="2" t="s">
        <v>294</v>
      </c>
      <c r="E36" s="2" t="s">
        <v>80</v>
      </c>
      <c r="F36" s="2" t="s">
        <v>81</v>
      </c>
      <c r="G36" s="2" t="s">
        <v>19</v>
      </c>
      <c r="H36" s="21">
        <v>3</v>
      </c>
      <c r="I36" s="21">
        <v>699.99</v>
      </c>
      <c r="J36" s="2" t="s">
        <v>34</v>
      </c>
      <c r="K36" s="2" t="s">
        <v>40</v>
      </c>
      <c r="L36" s="2" t="s">
        <v>22</v>
      </c>
      <c r="M36" s="4">
        <v>44909</v>
      </c>
      <c r="N36" s="5">
        <f t="shared" si="0"/>
        <v>2099.9700000000003</v>
      </c>
      <c r="O36" s="3">
        <f t="shared" ca="1" si="1"/>
        <v>46143</v>
      </c>
      <c r="P36" s="8">
        <f t="shared" ca="1" si="2"/>
        <v>46143.95781284722</v>
      </c>
      <c r="Q36">
        <f t="shared" si="3"/>
        <v>849</v>
      </c>
      <c r="R36" s="3">
        <f t="shared" si="4"/>
        <v>45777</v>
      </c>
      <c r="T36" t="str">
        <v>East</v>
      </c>
    </row>
    <row r="37" spans="1:20" ht="43.8" thickBot="1" x14ac:dyDescent="0.35">
      <c r="A37" s="2" t="s">
        <v>308</v>
      </c>
      <c r="B37" s="4">
        <v>45638</v>
      </c>
      <c r="C37" s="2" t="s">
        <v>72</v>
      </c>
      <c r="D37" s="2" t="s">
        <v>73</v>
      </c>
      <c r="E37" s="2" t="s">
        <v>61</v>
      </c>
      <c r="F37" s="2" t="s">
        <v>62</v>
      </c>
      <c r="G37" s="2" t="s">
        <v>19</v>
      </c>
      <c r="H37" s="21">
        <v>2</v>
      </c>
      <c r="I37" s="21">
        <v>899.99</v>
      </c>
      <c r="J37" s="2" t="s">
        <v>20</v>
      </c>
      <c r="K37" s="2" t="s">
        <v>40</v>
      </c>
      <c r="L37" s="2" t="s">
        <v>22</v>
      </c>
      <c r="M37" s="4">
        <v>44406</v>
      </c>
      <c r="N37" s="5">
        <f t="shared" si="0"/>
        <v>1799.98</v>
      </c>
      <c r="O37" s="3">
        <f t="shared" ca="1" si="1"/>
        <v>46143</v>
      </c>
      <c r="P37" s="8">
        <f t="shared" ca="1" si="2"/>
        <v>46143.95781284722</v>
      </c>
      <c r="Q37">
        <f t="shared" si="3"/>
        <v>1232</v>
      </c>
      <c r="R37" s="3">
        <f t="shared" si="4"/>
        <v>45657</v>
      </c>
      <c r="T37" t="str">
        <v>East</v>
      </c>
    </row>
    <row r="38" spans="1:20" ht="29.4" thickBot="1" x14ac:dyDescent="0.35">
      <c r="A38" s="2" t="s">
        <v>110</v>
      </c>
      <c r="B38" s="4">
        <v>45424</v>
      </c>
      <c r="C38" s="2" t="s">
        <v>68</v>
      </c>
      <c r="D38" s="2" t="s">
        <v>69</v>
      </c>
      <c r="E38" s="2" t="s">
        <v>105</v>
      </c>
      <c r="F38" s="2" t="s">
        <v>106</v>
      </c>
      <c r="G38" s="2" t="s">
        <v>46</v>
      </c>
      <c r="H38" s="21">
        <v>5</v>
      </c>
      <c r="I38" s="21">
        <v>299.99</v>
      </c>
      <c r="J38" s="2" t="s">
        <v>34</v>
      </c>
      <c r="K38" s="2" t="s">
        <v>63</v>
      </c>
      <c r="L38" s="2" t="s">
        <v>22</v>
      </c>
      <c r="M38" s="4">
        <v>45168</v>
      </c>
      <c r="N38" s="5">
        <f t="shared" si="0"/>
        <v>1499.95</v>
      </c>
      <c r="O38" s="3">
        <f t="shared" ca="1" si="1"/>
        <v>46143</v>
      </c>
      <c r="P38" s="8">
        <f t="shared" ca="1" si="2"/>
        <v>46143.95781284722</v>
      </c>
      <c r="Q38">
        <f t="shared" si="3"/>
        <v>256</v>
      </c>
      <c r="R38" s="3">
        <f t="shared" si="4"/>
        <v>45443</v>
      </c>
      <c r="T38" t="str">
        <v>East</v>
      </c>
    </row>
    <row r="39" spans="1:20" ht="29.4" thickBot="1" x14ac:dyDescent="0.35">
      <c r="A39" s="2" t="s">
        <v>215</v>
      </c>
      <c r="B39" s="4">
        <v>45515</v>
      </c>
      <c r="C39" s="2" t="s">
        <v>86</v>
      </c>
      <c r="D39" s="2" t="s">
        <v>87</v>
      </c>
      <c r="E39" s="2" t="s">
        <v>105</v>
      </c>
      <c r="F39" s="2" t="s">
        <v>106</v>
      </c>
      <c r="G39" s="2" t="s">
        <v>46</v>
      </c>
      <c r="H39" s="21">
        <v>5</v>
      </c>
      <c r="I39" s="21">
        <v>299.99</v>
      </c>
      <c r="J39" s="2" t="s">
        <v>26</v>
      </c>
      <c r="K39" s="2" t="s">
        <v>40</v>
      </c>
      <c r="L39" s="2" t="s">
        <v>22</v>
      </c>
      <c r="M39" s="4">
        <v>44965</v>
      </c>
      <c r="N39" s="5">
        <f t="shared" si="0"/>
        <v>1499.95</v>
      </c>
      <c r="O39" s="3">
        <f t="shared" ca="1" si="1"/>
        <v>46143</v>
      </c>
      <c r="P39" s="8">
        <f t="shared" ca="1" si="2"/>
        <v>46143.95781284722</v>
      </c>
      <c r="Q39">
        <f t="shared" si="3"/>
        <v>550</v>
      </c>
      <c r="R39" s="3">
        <f t="shared" si="4"/>
        <v>45535</v>
      </c>
      <c r="T39" t="str">
        <v>East</v>
      </c>
    </row>
    <row r="40" spans="1:20" ht="29.4" thickBot="1" x14ac:dyDescent="0.35">
      <c r="A40" s="2" t="s">
        <v>340</v>
      </c>
      <c r="B40" s="4">
        <v>45673</v>
      </c>
      <c r="C40" s="2" t="s">
        <v>211</v>
      </c>
      <c r="D40" s="2" t="s">
        <v>212</v>
      </c>
      <c r="E40" s="2" t="s">
        <v>105</v>
      </c>
      <c r="F40" s="2" t="s">
        <v>106</v>
      </c>
      <c r="G40" s="2" t="s">
        <v>46</v>
      </c>
      <c r="H40" s="21">
        <v>5</v>
      </c>
      <c r="I40" s="21">
        <v>299.99</v>
      </c>
      <c r="J40" s="2" t="s">
        <v>57</v>
      </c>
      <c r="K40" s="2" t="s">
        <v>21</v>
      </c>
      <c r="L40" s="2" t="s">
        <v>22</v>
      </c>
      <c r="M40" s="4">
        <v>44431</v>
      </c>
      <c r="N40" s="5">
        <f t="shared" si="0"/>
        <v>1499.95</v>
      </c>
      <c r="O40" s="3">
        <f t="shared" ca="1" si="1"/>
        <v>46143</v>
      </c>
      <c r="P40" s="8">
        <f t="shared" ca="1" si="2"/>
        <v>46143.95781284722</v>
      </c>
      <c r="Q40">
        <f t="shared" si="3"/>
        <v>1242</v>
      </c>
      <c r="R40" s="3">
        <f t="shared" si="4"/>
        <v>45688</v>
      </c>
      <c r="T40" t="str">
        <v>East</v>
      </c>
    </row>
    <row r="41" spans="1:20" ht="29.4" thickBot="1" x14ac:dyDescent="0.35">
      <c r="A41" s="2" t="s">
        <v>353</v>
      </c>
      <c r="B41" s="4">
        <v>45695</v>
      </c>
      <c r="C41" s="2" t="s">
        <v>93</v>
      </c>
      <c r="D41" s="2" t="s">
        <v>94</v>
      </c>
      <c r="E41" s="2" t="s">
        <v>105</v>
      </c>
      <c r="F41" s="2" t="s">
        <v>106</v>
      </c>
      <c r="G41" s="2" t="s">
        <v>46</v>
      </c>
      <c r="H41" s="21">
        <v>5</v>
      </c>
      <c r="I41" s="21">
        <v>299.99</v>
      </c>
      <c r="J41" s="2" t="s">
        <v>26</v>
      </c>
      <c r="K41" s="2" t="s">
        <v>35</v>
      </c>
      <c r="L41" s="2" t="s">
        <v>22</v>
      </c>
      <c r="M41" s="4">
        <v>44959</v>
      </c>
      <c r="N41" s="5">
        <f t="shared" si="0"/>
        <v>1499.95</v>
      </c>
      <c r="O41" s="3">
        <f t="shared" ca="1" si="1"/>
        <v>46143</v>
      </c>
      <c r="P41" s="8">
        <f t="shared" ca="1" si="2"/>
        <v>46143.95781284722</v>
      </c>
      <c r="Q41">
        <f t="shared" si="3"/>
        <v>736</v>
      </c>
      <c r="R41" s="3">
        <f t="shared" si="4"/>
        <v>45716</v>
      </c>
      <c r="T41" t="str">
        <v>East</v>
      </c>
    </row>
    <row r="42" spans="1:20" ht="29.4" thickBot="1" x14ac:dyDescent="0.35">
      <c r="A42" s="2" t="s">
        <v>363</v>
      </c>
      <c r="B42" s="4">
        <v>45710</v>
      </c>
      <c r="C42" s="2" t="s">
        <v>55</v>
      </c>
      <c r="D42" s="2" t="s">
        <v>56</v>
      </c>
      <c r="E42" s="2" t="s">
        <v>105</v>
      </c>
      <c r="F42" s="2" t="s">
        <v>106</v>
      </c>
      <c r="G42" s="2" t="s">
        <v>46</v>
      </c>
      <c r="H42" s="21">
        <v>5</v>
      </c>
      <c r="I42" s="21">
        <v>299.99</v>
      </c>
      <c r="J42" s="2" t="s">
        <v>20</v>
      </c>
      <c r="K42" s="2" t="s">
        <v>50</v>
      </c>
      <c r="L42" s="2" t="s">
        <v>36</v>
      </c>
      <c r="M42" s="4">
        <v>45142</v>
      </c>
      <c r="N42" s="5">
        <f t="shared" si="0"/>
        <v>1499.95</v>
      </c>
      <c r="O42" s="3">
        <f t="shared" ca="1" si="1"/>
        <v>46143</v>
      </c>
      <c r="P42" s="8">
        <f t="shared" ca="1" si="2"/>
        <v>46143.95781284722</v>
      </c>
      <c r="Q42">
        <f t="shared" si="3"/>
        <v>568</v>
      </c>
      <c r="R42" s="3">
        <f t="shared" si="4"/>
        <v>45716</v>
      </c>
      <c r="T42" t="str">
        <v>East</v>
      </c>
    </row>
    <row r="43" spans="1:20" ht="29.4" thickBot="1" x14ac:dyDescent="0.35">
      <c r="A43" s="2" t="s">
        <v>88</v>
      </c>
      <c r="B43" s="4">
        <v>45410</v>
      </c>
      <c r="C43" s="2" t="s">
        <v>89</v>
      </c>
      <c r="D43" s="2" t="s">
        <v>90</v>
      </c>
      <c r="E43" s="2" t="s">
        <v>80</v>
      </c>
      <c r="F43" s="2" t="s">
        <v>81</v>
      </c>
      <c r="G43" s="2" t="s">
        <v>19</v>
      </c>
      <c r="H43" s="21">
        <v>2</v>
      </c>
      <c r="I43" s="21">
        <v>699.99</v>
      </c>
      <c r="J43" s="2" t="s">
        <v>20</v>
      </c>
      <c r="K43" s="2" t="s">
        <v>40</v>
      </c>
      <c r="L43" s="2" t="s">
        <v>22</v>
      </c>
      <c r="M43" s="4">
        <v>44781</v>
      </c>
      <c r="N43" s="5">
        <f t="shared" si="0"/>
        <v>1399.98</v>
      </c>
      <c r="O43" s="3">
        <f t="shared" ca="1" si="1"/>
        <v>46143</v>
      </c>
      <c r="P43" s="8">
        <f t="shared" ca="1" si="2"/>
        <v>46143.95781284722</v>
      </c>
      <c r="Q43">
        <f t="shared" si="3"/>
        <v>629</v>
      </c>
      <c r="R43" s="3">
        <f t="shared" si="4"/>
        <v>45412</v>
      </c>
      <c r="T43" t="str">
        <v>East</v>
      </c>
    </row>
    <row r="44" spans="1:20" ht="29.4" thickBot="1" x14ac:dyDescent="0.35">
      <c r="A44" s="2" t="s">
        <v>187</v>
      </c>
      <c r="B44" s="4">
        <v>45481</v>
      </c>
      <c r="C44" s="2" t="s">
        <v>42</v>
      </c>
      <c r="D44" s="2" t="s">
        <v>43</v>
      </c>
      <c r="E44" s="2" t="s">
        <v>80</v>
      </c>
      <c r="F44" s="2" t="s">
        <v>81</v>
      </c>
      <c r="G44" s="2" t="s">
        <v>19</v>
      </c>
      <c r="H44" s="21">
        <v>2</v>
      </c>
      <c r="I44" s="21">
        <v>699.99</v>
      </c>
      <c r="J44" s="2" t="s">
        <v>34</v>
      </c>
      <c r="K44" s="2" t="s">
        <v>63</v>
      </c>
      <c r="L44" s="2" t="s">
        <v>27</v>
      </c>
      <c r="M44" s="4">
        <v>45389</v>
      </c>
      <c r="N44" s="5">
        <f t="shared" si="0"/>
        <v>1399.98</v>
      </c>
      <c r="O44" s="3">
        <f t="shared" ca="1" si="1"/>
        <v>46143</v>
      </c>
      <c r="P44" s="8">
        <f t="shared" ca="1" si="2"/>
        <v>46143.95781284722</v>
      </c>
      <c r="Q44">
        <f t="shared" si="3"/>
        <v>92</v>
      </c>
      <c r="R44" s="3">
        <f t="shared" si="4"/>
        <v>45504</v>
      </c>
      <c r="T44" t="str">
        <v>East</v>
      </c>
    </row>
    <row r="45" spans="1:20" ht="29.4" thickBot="1" x14ac:dyDescent="0.35">
      <c r="A45" s="2" t="s">
        <v>208</v>
      </c>
      <c r="B45" s="4">
        <v>45503</v>
      </c>
      <c r="C45" s="2" t="s">
        <v>86</v>
      </c>
      <c r="D45" s="2" t="s">
        <v>87</v>
      </c>
      <c r="E45" s="2" t="s">
        <v>80</v>
      </c>
      <c r="F45" s="2" t="s">
        <v>81</v>
      </c>
      <c r="G45" s="2" t="s">
        <v>19</v>
      </c>
      <c r="H45" s="21">
        <v>2</v>
      </c>
      <c r="I45" s="21">
        <v>699.99</v>
      </c>
      <c r="J45" s="2" t="s">
        <v>26</v>
      </c>
      <c r="K45" s="2" t="s">
        <v>40</v>
      </c>
      <c r="L45" s="2" t="s">
        <v>27</v>
      </c>
      <c r="M45" s="4">
        <v>44999</v>
      </c>
      <c r="N45" s="5">
        <f t="shared" si="0"/>
        <v>1399.98</v>
      </c>
      <c r="O45" s="3">
        <f t="shared" ca="1" si="1"/>
        <v>46143</v>
      </c>
      <c r="P45" s="8">
        <f t="shared" ca="1" si="2"/>
        <v>46143.95781284722</v>
      </c>
      <c r="Q45">
        <f t="shared" si="3"/>
        <v>504</v>
      </c>
      <c r="R45" s="3">
        <f t="shared" si="4"/>
        <v>45504</v>
      </c>
      <c r="T45" t="str">
        <v>East</v>
      </c>
    </row>
    <row r="46" spans="1:20" ht="29.4" thickBot="1" x14ac:dyDescent="0.35">
      <c r="A46" s="2" t="s">
        <v>233</v>
      </c>
      <c r="B46" s="4">
        <v>45534</v>
      </c>
      <c r="C46" s="2" t="s">
        <v>234</v>
      </c>
      <c r="D46" s="2" t="s">
        <v>235</v>
      </c>
      <c r="E46" s="2" t="s">
        <v>80</v>
      </c>
      <c r="F46" s="2" t="s">
        <v>81</v>
      </c>
      <c r="G46" s="2" t="s">
        <v>19</v>
      </c>
      <c r="H46" s="21">
        <v>2</v>
      </c>
      <c r="I46" s="21">
        <v>699.99</v>
      </c>
      <c r="J46" s="2" t="s">
        <v>26</v>
      </c>
      <c r="K46" s="2" t="s">
        <v>40</v>
      </c>
      <c r="L46" s="2" t="s">
        <v>27</v>
      </c>
      <c r="M46" s="4">
        <v>44421</v>
      </c>
      <c r="N46" s="5">
        <f t="shared" si="0"/>
        <v>1399.98</v>
      </c>
      <c r="O46" s="3">
        <f t="shared" ca="1" si="1"/>
        <v>46143</v>
      </c>
      <c r="P46" s="8">
        <f t="shared" ca="1" si="2"/>
        <v>46143.95781284722</v>
      </c>
      <c r="Q46">
        <f t="shared" si="3"/>
        <v>1113</v>
      </c>
      <c r="R46" s="3">
        <f t="shared" si="4"/>
        <v>45535</v>
      </c>
      <c r="T46" t="str">
        <v>East</v>
      </c>
    </row>
    <row r="47" spans="1:20" ht="29.4" thickBot="1" x14ac:dyDescent="0.35">
      <c r="A47" s="2" t="s">
        <v>238</v>
      </c>
      <c r="B47" s="4">
        <v>45538</v>
      </c>
      <c r="C47" s="2" t="s">
        <v>226</v>
      </c>
      <c r="D47" s="2" t="s">
        <v>227</v>
      </c>
      <c r="E47" s="2" t="s">
        <v>80</v>
      </c>
      <c r="F47" s="2" t="s">
        <v>81</v>
      </c>
      <c r="G47" s="2" t="s">
        <v>19</v>
      </c>
      <c r="H47" s="21">
        <v>2</v>
      </c>
      <c r="I47" s="21">
        <v>699.99</v>
      </c>
      <c r="J47" s="2" t="s">
        <v>57</v>
      </c>
      <c r="K47" s="2" t="s">
        <v>21</v>
      </c>
      <c r="L47" s="2" t="s">
        <v>27</v>
      </c>
      <c r="M47" s="4">
        <v>44870</v>
      </c>
      <c r="N47" s="5">
        <f t="shared" si="0"/>
        <v>1399.98</v>
      </c>
      <c r="O47" s="3">
        <f t="shared" ca="1" si="1"/>
        <v>46143</v>
      </c>
      <c r="P47" s="8">
        <f t="shared" ca="1" si="2"/>
        <v>46143.95781284722</v>
      </c>
      <c r="Q47">
        <f t="shared" si="3"/>
        <v>668</v>
      </c>
      <c r="R47" s="3">
        <f t="shared" si="4"/>
        <v>45565</v>
      </c>
      <c r="T47" t="str">
        <v>East</v>
      </c>
    </row>
    <row r="48" spans="1:20" ht="29.4" thickBot="1" x14ac:dyDescent="0.35">
      <c r="A48" s="2" t="s">
        <v>264</v>
      </c>
      <c r="B48" s="4">
        <v>45573</v>
      </c>
      <c r="C48" s="2" t="s">
        <v>211</v>
      </c>
      <c r="D48" s="2" t="s">
        <v>212</v>
      </c>
      <c r="E48" s="2" t="s">
        <v>80</v>
      </c>
      <c r="F48" s="2" t="s">
        <v>81</v>
      </c>
      <c r="G48" s="2" t="s">
        <v>19</v>
      </c>
      <c r="H48" s="21">
        <v>2</v>
      </c>
      <c r="I48" s="21">
        <v>699.99</v>
      </c>
      <c r="J48" s="2" t="s">
        <v>57</v>
      </c>
      <c r="K48" s="2" t="s">
        <v>63</v>
      </c>
      <c r="L48" s="2" t="s">
        <v>27</v>
      </c>
      <c r="M48" s="4">
        <v>45274</v>
      </c>
      <c r="N48" s="5">
        <f t="shared" si="0"/>
        <v>1399.98</v>
      </c>
      <c r="O48" s="3">
        <f t="shared" ca="1" si="1"/>
        <v>46143</v>
      </c>
      <c r="P48" s="8">
        <f t="shared" ca="1" si="2"/>
        <v>46143.95781284722</v>
      </c>
      <c r="Q48">
        <f t="shared" si="3"/>
        <v>299</v>
      </c>
      <c r="R48" s="3">
        <f t="shared" si="4"/>
        <v>45596</v>
      </c>
      <c r="T48" t="str">
        <v>East</v>
      </c>
    </row>
    <row r="49" spans="1:20" ht="29.4" thickBot="1" x14ac:dyDescent="0.35">
      <c r="A49" s="2" t="s">
        <v>274</v>
      </c>
      <c r="B49" s="4">
        <v>45588</v>
      </c>
      <c r="C49" s="2" t="s">
        <v>154</v>
      </c>
      <c r="D49" s="2" t="s">
        <v>155</v>
      </c>
      <c r="E49" s="2" t="s">
        <v>80</v>
      </c>
      <c r="F49" s="2" t="s">
        <v>81</v>
      </c>
      <c r="G49" s="2" t="s">
        <v>19</v>
      </c>
      <c r="H49" s="21">
        <v>2</v>
      </c>
      <c r="I49" s="21">
        <v>699.99</v>
      </c>
      <c r="J49" s="2" t="s">
        <v>20</v>
      </c>
      <c r="K49" s="2" t="s">
        <v>21</v>
      </c>
      <c r="L49" s="2" t="s">
        <v>22</v>
      </c>
      <c r="M49" s="4">
        <v>44992</v>
      </c>
      <c r="N49" s="5">
        <f t="shared" si="0"/>
        <v>1399.98</v>
      </c>
      <c r="O49" s="3">
        <f t="shared" ca="1" si="1"/>
        <v>46143</v>
      </c>
      <c r="P49" s="8">
        <f t="shared" ca="1" si="2"/>
        <v>46143.95781284722</v>
      </c>
      <c r="Q49">
        <f t="shared" si="3"/>
        <v>596</v>
      </c>
      <c r="R49" s="3">
        <f t="shared" si="4"/>
        <v>45596</v>
      </c>
      <c r="T49" t="str">
        <v>East</v>
      </c>
    </row>
    <row r="50" spans="1:20" ht="29.4" thickBot="1" x14ac:dyDescent="0.35">
      <c r="A50" s="2" t="s">
        <v>288</v>
      </c>
      <c r="B50" s="4">
        <v>45613</v>
      </c>
      <c r="C50" s="2" t="s">
        <v>86</v>
      </c>
      <c r="D50" s="2" t="s">
        <v>87</v>
      </c>
      <c r="E50" s="2" t="s">
        <v>80</v>
      </c>
      <c r="F50" s="2" t="s">
        <v>81</v>
      </c>
      <c r="G50" s="2" t="s">
        <v>19</v>
      </c>
      <c r="H50" s="21">
        <v>2</v>
      </c>
      <c r="I50" s="21">
        <v>699.99</v>
      </c>
      <c r="J50" s="2" t="s">
        <v>34</v>
      </c>
      <c r="K50" s="2" t="s">
        <v>50</v>
      </c>
      <c r="L50" s="2" t="s">
        <v>36</v>
      </c>
      <c r="M50" s="4">
        <v>44770</v>
      </c>
      <c r="N50" s="5">
        <f t="shared" si="0"/>
        <v>1399.98</v>
      </c>
      <c r="O50" s="3">
        <f t="shared" ca="1" si="1"/>
        <v>46143</v>
      </c>
      <c r="P50" s="8">
        <f t="shared" ca="1" si="2"/>
        <v>46143.95781284722</v>
      </c>
      <c r="Q50">
        <f t="shared" si="3"/>
        <v>843</v>
      </c>
      <c r="R50" s="3">
        <f t="shared" si="4"/>
        <v>45626</v>
      </c>
    </row>
    <row r="51" spans="1:20" ht="29.4" thickBot="1" x14ac:dyDescent="0.35">
      <c r="A51" s="2" t="s">
        <v>347</v>
      </c>
      <c r="B51" s="4">
        <v>45686</v>
      </c>
      <c r="C51" s="2" t="s">
        <v>293</v>
      </c>
      <c r="D51" s="2" t="s">
        <v>294</v>
      </c>
      <c r="E51" s="2" t="s">
        <v>80</v>
      </c>
      <c r="F51" s="2" t="s">
        <v>81</v>
      </c>
      <c r="G51" s="2" t="s">
        <v>19</v>
      </c>
      <c r="H51" s="21">
        <v>2</v>
      </c>
      <c r="I51" s="21">
        <v>699.99</v>
      </c>
      <c r="J51" s="2" t="s">
        <v>57</v>
      </c>
      <c r="K51" s="2" t="s">
        <v>21</v>
      </c>
      <c r="L51" s="2" t="s">
        <v>27</v>
      </c>
      <c r="M51" s="4">
        <v>44681</v>
      </c>
      <c r="N51" s="5">
        <f t="shared" si="0"/>
        <v>1399.98</v>
      </c>
      <c r="O51" s="3">
        <f t="shared" ca="1" si="1"/>
        <v>46143</v>
      </c>
      <c r="P51" s="8">
        <f t="shared" ca="1" si="2"/>
        <v>46143.95781284722</v>
      </c>
      <c r="Q51">
        <f t="shared" si="3"/>
        <v>1005</v>
      </c>
      <c r="R51" s="3">
        <f t="shared" si="4"/>
        <v>45688</v>
      </c>
    </row>
    <row r="52" spans="1:20" ht="29.4" thickBot="1" x14ac:dyDescent="0.35">
      <c r="A52" s="2" t="s">
        <v>392</v>
      </c>
      <c r="B52" s="4">
        <v>45748</v>
      </c>
      <c r="C52" s="2" t="s">
        <v>102</v>
      </c>
      <c r="D52" s="2" t="s">
        <v>103</v>
      </c>
      <c r="E52" s="2" t="s">
        <v>80</v>
      </c>
      <c r="F52" s="2" t="s">
        <v>81</v>
      </c>
      <c r="G52" s="2" t="s">
        <v>19</v>
      </c>
      <c r="H52" s="21">
        <v>2</v>
      </c>
      <c r="I52" s="21">
        <v>699.99</v>
      </c>
      <c r="J52" s="2" t="s">
        <v>34</v>
      </c>
      <c r="K52" s="2" t="s">
        <v>40</v>
      </c>
      <c r="L52" s="2" t="s">
        <v>36</v>
      </c>
      <c r="M52" s="4">
        <v>44618</v>
      </c>
      <c r="N52" s="5">
        <f t="shared" si="0"/>
        <v>1399.98</v>
      </c>
      <c r="O52" s="3">
        <f t="shared" ca="1" si="1"/>
        <v>46143</v>
      </c>
      <c r="P52" s="8">
        <f t="shared" ca="1" si="2"/>
        <v>46143.95781284722</v>
      </c>
      <c r="Q52">
        <f t="shared" si="3"/>
        <v>1130</v>
      </c>
      <c r="R52" s="3">
        <f t="shared" si="4"/>
        <v>45777</v>
      </c>
    </row>
    <row r="53" spans="1:20" ht="29.4" thickBot="1" x14ac:dyDescent="0.35">
      <c r="A53" s="2" t="s">
        <v>107</v>
      </c>
      <c r="B53" s="4">
        <v>45422</v>
      </c>
      <c r="C53" s="2" t="s">
        <v>108</v>
      </c>
      <c r="D53" s="2" t="s">
        <v>109</v>
      </c>
      <c r="E53" s="2" t="s">
        <v>17</v>
      </c>
      <c r="F53" s="2" t="s">
        <v>18</v>
      </c>
      <c r="G53" s="2" t="s">
        <v>19</v>
      </c>
      <c r="H53" s="21">
        <v>5</v>
      </c>
      <c r="I53" s="21">
        <v>249.99</v>
      </c>
      <c r="J53" s="2" t="s">
        <v>26</v>
      </c>
      <c r="K53" s="2" t="s">
        <v>50</v>
      </c>
      <c r="L53" s="2" t="s">
        <v>36</v>
      </c>
      <c r="M53" s="4">
        <v>44525</v>
      </c>
      <c r="N53" s="5">
        <f t="shared" si="0"/>
        <v>1249.95</v>
      </c>
      <c r="O53" s="3">
        <f t="shared" ca="1" si="1"/>
        <v>46143</v>
      </c>
      <c r="P53" s="8">
        <f t="shared" ca="1" si="2"/>
        <v>46143.95781284722</v>
      </c>
      <c r="Q53">
        <f t="shared" si="3"/>
        <v>897</v>
      </c>
      <c r="R53" s="3">
        <f t="shared" si="4"/>
        <v>45443</v>
      </c>
    </row>
    <row r="54" spans="1:20" ht="29.4" thickBot="1" x14ac:dyDescent="0.35">
      <c r="A54" s="2" t="s">
        <v>156</v>
      </c>
      <c r="B54" s="4">
        <v>45449</v>
      </c>
      <c r="C54" s="2" t="s">
        <v>24</v>
      </c>
      <c r="D54" s="2" t="s">
        <v>25</v>
      </c>
      <c r="E54" s="2" t="s">
        <v>17</v>
      </c>
      <c r="F54" s="2" t="s">
        <v>18</v>
      </c>
      <c r="G54" s="2" t="s">
        <v>19</v>
      </c>
      <c r="H54" s="21">
        <v>5</v>
      </c>
      <c r="I54" s="21">
        <v>249.99</v>
      </c>
      <c r="J54" s="2" t="s">
        <v>26</v>
      </c>
      <c r="K54" s="2" t="s">
        <v>63</v>
      </c>
      <c r="L54" s="2" t="s">
        <v>36</v>
      </c>
      <c r="M54" s="4">
        <v>44707</v>
      </c>
      <c r="N54" s="5">
        <f t="shared" si="0"/>
        <v>1249.95</v>
      </c>
      <c r="O54" s="3">
        <f t="shared" ca="1" si="1"/>
        <v>46143</v>
      </c>
      <c r="P54" s="8">
        <f t="shared" ca="1" si="2"/>
        <v>46143.95781284722</v>
      </c>
      <c r="Q54">
        <f t="shared" si="3"/>
        <v>742</v>
      </c>
      <c r="R54" s="3">
        <f t="shared" si="4"/>
        <v>45473</v>
      </c>
    </row>
    <row r="55" spans="1:20" ht="29.4" thickBot="1" x14ac:dyDescent="0.35">
      <c r="A55" s="2" t="s">
        <v>217</v>
      </c>
      <c r="B55" s="4">
        <v>45517</v>
      </c>
      <c r="C55" s="2" t="s">
        <v>185</v>
      </c>
      <c r="D55" s="2" t="s">
        <v>186</v>
      </c>
      <c r="E55" s="2" t="s">
        <v>17</v>
      </c>
      <c r="F55" s="2" t="s">
        <v>18</v>
      </c>
      <c r="G55" s="2" t="s">
        <v>19</v>
      </c>
      <c r="H55" s="21">
        <v>5</v>
      </c>
      <c r="I55" s="21">
        <v>249.99</v>
      </c>
      <c r="J55" s="2" t="s">
        <v>34</v>
      </c>
      <c r="K55" s="2" t="s">
        <v>63</v>
      </c>
      <c r="L55" s="2" t="s">
        <v>27</v>
      </c>
      <c r="M55" s="4">
        <v>44782</v>
      </c>
      <c r="N55" s="5">
        <f t="shared" si="0"/>
        <v>1249.95</v>
      </c>
      <c r="O55" s="3">
        <f t="shared" ca="1" si="1"/>
        <v>46143</v>
      </c>
      <c r="P55" s="8">
        <f t="shared" ca="1" si="2"/>
        <v>46143.95781284722</v>
      </c>
      <c r="Q55">
        <f t="shared" si="3"/>
        <v>735</v>
      </c>
      <c r="R55" s="3">
        <f t="shared" si="4"/>
        <v>45535</v>
      </c>
    </row>
    <row r="56" spans="1:20" ht="29.4" thickBot="1" x14ac:dyDescent="0.35">
      <c r="A56" s="2" t="s">
        <v>277</v>
      </c>
      <c r="B56" s="4">
        <v>45597</v>
      </c>
      <c r="C56" s="2" t="s">
        <v>15</v>
      </c>
      <c r="D56" s="2" t="s">
        <v>16</v>
      </c>
      <c r="E56" s="2" t="s">
        <v>17</v>
      </c>
      <c r="F56" s="2" t="s">
        <v>18</v>
      </c>
      <c r="G56" s="2" t="s">
        <v>19</v>
      </c>
      <c r="H56" s="21">
        <v>5</v>
      </c>
      <c r="I56" s="21">
        <v>249.99</v>
      </c>
      <c r="J56" s="2" t="s">
        <v>26</v>
      </c>
      <c r="K56" s="2" t="s">
        <v>35</v>
      </c>
      <c r="L56" s="2" t="s">
        <v>36</v>
      </c>
      <c r="M56" s="4">
        <v>44881</v>
      </c>
      <c r="N56" s="5">
        <f t="shared" si="0"/>
        <v>1249.95</v>
      </c>
      <c r="O56" s="3">
        <f t="shared" ca="1" si="1"/>
        <v>46143</v>
      </c>
      <c r="P56" s="8">
        <f t="shared" ca="1" si="2"/>
        <v>46143.95781284722</v>
      </c>
      <c r="Q56">
        <f t="shared" si="3"/>
        <v>716</v>
      </c>
      <c r="R56" s="3">
        <f t="shared" si="4"/>
        <v>45626</v>
      </c>
    </row>
    <row r="57" spans="1:20" ht="29.4" thickBot="1" x14ac:dyDescent="0.35">
      <c r="A57" s="2" t="s">
        <v>292</v>
      </c>
      <c r="B57" s="4">
        <v>45622</v>
      </c>
      <c r="C57" s="2" t="s">
        <v>293</v>
      </c>
      <c r="D57" s="2" t="s">
        <v>294</v>
      </c>
      <c r="E57" s="2" t="s">
        <v>17</v>
      </c>
      <c r="F57" s="2" t="s">
        <v>18</v>
      </c>
      <c r="G57" s="2" t="s">
        <v>19</v>
      </c>
      <c r="H57" s="21">
        <v>5</v>
      </c>
      <c r="I57" s="21">
        <v>249.99</v>
      </c>
      <c r="J57" s="2" t="s">
        <v>26</v>
      </c>
      <c r="K57" s="2" t="s">
        <v>40</v>
      </c>
      <c r="L57" s="2" t="s">
        <v>22</v>
      </c>
      <c r="M57" s="4">
        <v>44873</v>
      </c>
      <c r="N57" s="5">
        <f t="shared" si="0"/>
        <v>1249.95</v>
      </c>
      <c r="O57" s="3">
        <f t="shared" ca="1" si="1"/>
        <v>46143</v>
      </c>
      <c r="P57" s="8">
        <f t="shared" ca="1" si="2"/>
        <v>46143.95781284722</v>
      </c>
      <c r="Q57">
        <f t="shared" si="3"/>
        <v>749</v>
      </c>
      <c r="R57" s="3">
        <f t="shared" si="4"/>
        <v>45626</v>
      </c>
    </row>
    <row r="58" spans="1:20" ht="29.4" thickBot="1" x14ac:dyDescent="0.35">
      <c r="A58" s="2" t="s">
        <v>297</v>
      </c>
      <c r="B58" s="4">
        <v>45627</v>
      </c>
      <c r="C58" s="2" t="s">
        <v>55</v>
      </c>
      <c r="D58" s="2" t="s">
        <v>56</v>
      </c>
      <c r="E58" s="2" t="s">
        <v>17</v>
      </c>
      <c r="F58" s="2" t="s">
        <v>18</v>
      </c>
      <c r="G58" s="2" t="s">
        <v>19</v>
      </c>
      <c r="H58" s="21">
        <v>5</v>
      </c>
      <c r="I58" s="21">
        <v>249.99</v>
      </c>
      <c r="J58" s="2" t="s">
        <v>20</v>
      </c>
      <c r="K58" s="2" t="s">
        <v>21</v>
      </c>
      <c r="L58" s="2" t="s">
        <v>27</v>
      </c>
      <c r="M58" s="4">
        <v>44485</v>
      </c>
      <c r="N58" s="5">
        <f t="shared" si="0"/>
        <v>1249.95</v>
      </c>
      <c r="O58" s="3">
        <f t="shared" ca="1" si="1"/>
        <v>46143</v>
      </c>
      <c r="P58" s="8">
        <f t="shared" ca="1" si="2"/>
        <v>46143.95781284722</v>
      </c>
      <c r="Q58">
        <f t="shared" si="3"/>
        <v>1142</v>
      </c>
      <c r="R58" s="3">
        <f t="shared" si="4"/>
        <v>45657</v>
      </c>
    </row>
    <row r="59" spans="1:20" ht="29.4" thickBot="1" x14ac:dyDescent="0.35">
      <c r="A59" s="2" t="s">
        <v>331</v>
      </c>
      <c r="B59" s="4">
        <v>45667</v>
      </c>
      <c r="C59" s="2" t="s">
        <v>93</v>
      </c>
      <c r="D59" s="2" t="s">
        <v>94</v>
      </c>
      <c r="E59" s="2" t="s">
        <v>17</v>
      </c>
      <c r="F59" s="2" t="s">
        <v>18</v>
      </c>
      <c r="G59" s="2" t="s">
        <v>19</v>
      </c>
      <c r="H59" s="21">
        <v>5</v>
      </c>
      <c r="I59" s="21">
        <v>249.99</v>
      </c>
      <c r="J59" s="2" t="s">
        <v>26</v>
      </c>
      <c r="K59" s="2" t="s">
        <v>35</v>
      </c>
      <c r="L59" s="2" t="s">
        <v>22</v>
      </c>
      <c r="M59" s="4">
        <v>45330</v>
      </c>
      <c r="N59" s="5">
        <f t="shared" si="0"/>
        <v>1249.95</v>
      </c>
      <c r="O59" s="3">
        <f t="shared" ca="1" si="1"/>
        <v>46143</v>
      </c>
      <c r="P59" s="8">
        <f t="shared" ca="1" si="2"/>
        <v>46143.95781284722</v>
      </c>
      <c r="Q59">
        <f t="shared" si="3"/>
        <v>337</v>
      </c>
      <c r="R59" s="3">
        <f t="shared" si="4"/>
        <v>45688</v>
      </c>
    </row>
    <row r="60" spans="1:20" ht="29.4" thickBot="1" x14ac:dyDescent="0.35">
      <c r="A60" s="2" t="s">
        <v>375</v>
      </c>
      <c r="B60" s="4">
        <v>45723</v>
      </c>
      <c r="C60" s="2" t="s">
        <v>120</v>
      </c>
      <c r="D60" s="2" t="s">
        <v>121</v>
      </c>
      <c r="E60" s="2" t="s">
        <v>17</v>
      </c>
      <c r="F60" s="2" t="s">
        <v>18</v>
      </c>
      <c r="G60" s="2" t="s">
        <v>19</v>
      </c>
      <c r="H60" s="21">
        <v>5</v>
      </c>
      <c r="I60" s="21">
        <v>249.99</v>
      </c>
      <c r="J60" s="2" t="s">
        <v>20</v>
      </c>
      <c r="K60" s="2" t="s">
        <v>63</v>
      </c>
      <c r="L60" s="2" t="s">
        <v>36</v>
      </c>
      <c r="M60" s="4">
        <v>44540</v>
      </c>
      <c r="N60" s="5">
        <f t="shared" si="0"/>
        <v>1249.95</v>
      </c>
      <c r="O60" s="3">
        <f t="shared" ca="1" si="1"/>
        <v>46143</v>
      </c>
      <c r="P60" s="8">
        <f t="shared" ca="1" si="2"/>
        <v>46143.95781284722</v>
      </c>
      <c r="Q60">
        <f t="shared" si="3"/>
        <v>1183</v>
      </c>
      <c r="R60" s="3">
        <f t="shared" si="4"/>
        <v>45747</v>
      </c>
    </row>
    <row r="61" spans="1:20" ht="29.4" thickBot="1" x14ac:dyDescent="0.35">
      <c r="A61" s="2" t="s">
        <v>104</v>
      </c>
      <c r="B61" s="4">
        <v>45416</v>
      </c>
      <c r="C61" s="2" t="s">
        <v>86</v>
      </c>
      <c r="D61" s="2" t="s">
        <v>87</v>
      </c>
      <c r="E61" s="2" t="s">
        <v>105</v>
      </c>
      <c r="F61" s="2" t="s">
        <v>106</v>
      </c>
      <c r="G61" s="2" t="s">
        <v>46</v>
      </c>
      <c r="H61" s="21">
        <v>4</v>
      </c>
      <c r="I61" s="21">
        <v>299.99</v>
      </c>
      <c r="J61" s="2" t="s">
        <v>20</v>
      </c>
      <c r="K61" s="2" t="s">
        <v>50</v>
      </c>
      <c r="L61" s="2" t="s">
        <v>27</v>
      </c>
      <c r="M61" s="4">
        <v>44716</v>
      </c>
      <c r="N61" s="5">
        <f t="shared" si="0"/>
        <v>1199.96</v>
      </c>
      <c r="O61" s="3">
        <f t="shared" ca="1" si="1"/>
        <v>46143</v>
      </c>
      <c r="P61" s="8">
        <f t="shared" ca="1" si="2"/>
        <v>46143.95781284722</v>
      </c>
      <c r="Q61">
        <f t="shared" si="3"/>
        <v>700</v>
      </c>
      <c r="R61" s="3">
        <f t="shared" si="4"/>
        <v>45443</v>
      </c>
    </row>
    <row r="62" spans="1:20" ht="29.4" thickBot="1" x14ac:dyDescent="0.35">
      <c r="A62" s="2" t="s">
        <v>261</v>
      </c>
      <c r="B62" s="4">
        <v>45566</v>
      </c>
      <c r="C62" s="2" t="s">
        <v>42</v>
      </c>
      <c r="D62" s="2" t="s">
        <v>43</v>
      </c>
      <c r="E62" s="2" t="s">
        <v>105</v>
      </c>
      <c r="F62" s="2" t="s">
        <v>106</v>
      </c>
      <c r="G62" s="2" t="s">
        <v>46</v>
      </c>
      <c r="H62" s="21">
        <v>4</v>
      </c>
      <c r="I62" s="21">
        <v>299.99</v>
      </c>
      <c r="J62" s="2" t="s">
        <v>20</v>
      </c>
      <c r="K62" s="2" t="s">
        <v>21</v>
      </c>
      <c r="L62" s="2" t="s">
        <v>27</v>
      </c>
      <c r="M62" s="4">
        <v>44460</v>
      </c>
      <c r="N62" s="5">
        <f t="shared" si="0"/>
        <v>1199.96</v>
      </c>
      <c r="O62" s="3">
        <f t="shared" ca="1" si="1"/>
        <v>46143</v>
      </c>
      <c r="P62" s="8">
        <f t="shared" ca="1" si="2"/>
        <v>46143.95781284722</v>
      </c>
      <c r="Q62">
        <f t="shared" si="3"/>
        <v>1106</v>
      </c>
      <c r="R62" s="3">
        <f t="shared" si="4"/>
        <v>45596</v>
      </c>
    </row>
    <row r="63" spans="1:20" ht="29.4" thickBot="1" x14ac:dyDescent="0.35">
      <c r="A63" s="2" t="s">
        <v>101</v>
      </c>
      <c r="B63" s="4">
        <v>45415</v>
      </c>
      <c r="C63" s="2" t="s">
        <v>102</v>
      </c>
      <c r="D63" s="2" t="s">
        <v>103</v>
      </c>
      <c r="E63" s="2" t="s">
        <v>17</v>
      </c>
      <c r="F63" s="2" t="s">
        <v>18</v>
      </c>
      <c r="G63" s="2" t="s">
        <v>19</v>
      </c>
      <c r="H63" s="21">
        <v>4</v>
      </c>
      <c r="I63" s="21">
        <v>249.99</v>
      </c>
      <c r="J63" s="2" t="s">
        <v>34</v>
      </c>
      <c r="K63" s="2" t="s">
        <v>40</v>
      </c>
      <c r="L63" s="2" t="s">
        <v>36</v>
      </c>
      <c r="M63" s="4">
        <v>44468</v>
      </c>
      <c r="N63" s="5">
        <f t="shared" si="0"/>
        <v>999.96</v>
      </c>
      <c r="O63" s="3">
        <f t="shared" ca="1" si="1"/>
        <v>46143</v>
      </c>
      <c r="P63" s="8">
        <f t="shared" ca="1" si="2"/>
        <v>46143.95781284722</v>
      </c>
      <c r="Q63">
        <f t="shared" si="3"/>
        <v>947</v>
      </c>
      <c r="R63" s="3">
        <f t="shared" si="4"/>
        <v>45443</v>
      </c>
    </row>
    <row r="64" spans="1:20" ht="29.4" thickBot="1" x14ac:dyDescent="0.35">
      <c r="A64" s="2" t="s">
        <v>203</v>
      </c>
      <c r="B64" s="4">
        <v>45498</v>
      </c>
      <c r="C64" s="2" t="s">
        <v>196</v>
      </c>
      <c r="D64" s="2" t="s">
        <v>197</v>
      </c>
      <c r="E64" s="2" t="s">
        <v>17</v>
      </c>
      <c r="F64" s="2" t="s">
        <v>18</v>
      </c>
      <c r="G64" s="2" t="s">
        <v>19</v>
      </c>
      <c r="H64" s="21">
        <v>4</v>
      </c>
      <c r="I64" s="21">
        <v>249.99</v>
      </c>
      <c r="J64" s="2" t="s">
        <v>57</v>
      </c>
      <c r="K64" s="2" t="s">
        <v>21</v>
      </c>
      <c r="L64" s="2" t="s">
        <v>36</v>
      </c>
      <c r="M64" s="4">
        <v>45127</v>
      </c>
      <c r="N64" s="5">
        <f t="shared" si="0"/>
        <v>999.96</v>
      </c>
      <c r="O64" s="3">
        <f t="shared" ca="1" si="1"/>
        <v>46143</v>
      </c>
      <c r="P64" s="8">
        <f t="shared" ca="1" si="2"/>
        <v>46143.95781284722</v>
      </c>
      <c r="Q64">
        <f t="shared" si="3"/>
        <v>371</v>
      </c>
      <c r="R64" s="3">
        <f t="shared" si="4"/>
        <v>45504</v>
      </c>
    </row>
    <row r="65" spans="1:18" ht="29.4" thickBot="1" x14ac:dyDescent="0.35">
      <c r="A65" s="2" t="s">
        <v>284</v>
      </c>
      <c r="B65" s="4">
        <v>45607</v>
      </c>
      <c r="C65" s="2" t="s">
        <v>99</v>
      </c>
      <c r="D65" s="2" t="s">
        <v>100</v>
      </c>
      <c r="E65" s="2" t="s">
        <v>17</v>
      </c>
      <c r="F65" s="2" t="s">
        <v>18</v>
      </c>
      <c r="G65" s="2" t="s">
        <v>19</v>
      </c>
      <c r="H65" s="21">
        <v>4</v>
      </c>
      <c r="I65" s="21">
        <v>249.99</v>
      </c>
      <c r="J65" s="2" t="s">
        <v>26</v>
      </c>
      <c r="K65" s="2" t="s">
        <v>50</v>
      </c>
      <c r="L65" s="2" t="s">
        <v>36</v>
      </c>
      <c r="M65" s="4">
        <v>44659</v>
      </c>
      <c r="N65" s="5">
        <f t="shared" si="0"/>
        <v>999.96</v>
      </c>
      <c r="O65" s="3">
        <f t="shared" ca="1" si="1"/>
        <v>46143</v>
      </c>
      <c r="P65" s="8">
        <f t="shared" ca="1" si="2"/>
        <v>46143.95781284722</v>
      </c>
      <c r="Q65">
        <f t="shared" si="3"/>
        <v>948</v>
      </c>
      <c r="R65" s="3">
        <f t="shared" si="4"/>
        <v>45626</v>
      </c>
    </row>
    <row r="66" spans="1:18" ht="29.4" thickBot="1" x14ac:dyDescent="0.35">
      <c r="A66" s="2" t="s">
        <v>300</v>
      </c>
      <c r="B66" s="4">
        <v>45629</v>
      </c>
      <c r="C66" s="2" t="s">
        <v>252</v>
      </c>
      <c r="D66" s="2" t="s">
        <v>253</v>
      </c>
      <c r="E66" s="2" t="s">
        <v>17</v>
      </c>
      <c r="F66" s="2" t="s">
        <v>18</v>
      </c>
      <c r="G66" s="2" t="s">
        <v>19</v>
      </c>
      <c r="H66" s="21">
        <v>4</v>
      </c>
      <c r="I66" s="21">
        <v>249.99</v>
      </c>
      <c r="J66" s="2" t="s">
        <v>34</v>
      </c>
      <c r="K66" s="2" t="s">
        <v>63</v>
      </c>
      <c r="L66" s="2" t="s">
        <v>27</v>
      </c>
      <c r="M66" s="4">
        <v>45098</v>
      </c>
      <c r="N66" s="5">
        <f t="shared" si="0"/>
        <v>999.96</v>
      </c>
      <c r="O66" s="3">
        <f t="shared" ref="O66:O129" ca="1" si="5">TODAY()</f>
        <v>46143</v>
      </c>
      <c r="P66" s="8">
        <f t="shared" ref="P66:P129" ca="1" si="6">NOW()</f>
        <v>46143.95781284722</v>
      </c>
      <c r="Q66">
        <f t="shared" ref="Q66:Q129" si="7">DATEDIF(M66,B66,"D")</f>
        <v>531</v>
      </c>
      <c r="R66" s="3">
        <f t="shared" ref="R66:R129" si="8">EOMONTH(B66,0)</f>
        <v>45657</v>
      </c>
    </row>
    <row r="67" spans="1:18" ht="29.4" thickBot="1" x14ac:dyDescent="0.35">
      <c r="A67" s="2" t="s">
        <v>336</v>
      </c>
      <c r="B67" s="4">
        <v>45671</v>
      </c>
      <c r="C67" s="2" t="s">
        <v>158</v>
      </c>
      <c r="D67" s="2" t="s">
        <v>159</v>
      </c>
      <c r="E67" s="2" t="s">
        <v>17</v>
      </c>
      <c r="F67" s="2" t="s">
        <v>18</v>
      </c>
      <c r="G67" s="2" t="s">
        <v>19</v>
      </c>
      <c r="H67" s="21">
        <v>4</v>
      </c>
      <c r="I67" s="21">
        <v>249.99</v>
      </c>
      <c r="J67" s="2" t="s">
        <v>26</v>
      </c>
      <c r="K67" s="2" t="s">
        <v>40</v>
      </c>
      <c r="L67" s="2" t="s">
        <v>27</v>
      </c>
      <c r="M67" s="4">
        <v>44460</v>
      </c>
      <c r="N67" s="5">
        <f t="shared" ref="N67:N130" si="9">I67*H67</f>
        <v>999.96</v>
      </c>
      <c r="O67" s="3">
        <f t="shared" ca="1" si="5"/>
        <v>46143</v>
      </c>
      <c r="P67" s="8">
        <f t="shared" ca="1" si="6"/>
        <v>46143.95781284722</v>
      </c>
      <c r="Q67">
        <f t="shared" si="7"/>
        <v>1211</v>
      </c>
      <c r="R67" s="3">
        <f t="shared" si="8"/>
        <v>45688</v>
      </c>
    </row>
    <row r="68" spans="1:18" ht="29.4" thickBot="1" x14ac:dyDescent="0.35">
      <c r="A68" s="2" t="s">
        <v>344</v>
      </c>
      <c r="B68" s="4">
        <v>45683</v>
      </c>
      <c r="C68" s="2" t="s">
        <v>48</v>
      </c>
      <c r="D68" s="2" t="s">
        <v>49</v>
      </c>
      <c r="E68" s="2" t="s">
        <v>17</v>
      </c>
      <c r="F68" s="2" t="s">
        <v>18</v>
      </c>
      <c r="G68" s="2" t="s">
        <v>19</v>
      </c>
      <c r="H68" s="21">
        <v>4</v>
      </c>
      <c r="I68" s="21">
        <v>249.99</v>
      </c>
      <c r="J68" s="2" t="s">
        <v>57</v>
      </c>
      <c r="K68" s="2" t="s">
        <v>21</v>
      </c>
      <c r="L68" s="2" t="s">
        <v>27</v>
      </c>
      <c r="M68" s="4">
        <v>45217</v>
      </c>
      <c r="N68" s="5">
        <f t="shared" si="9"/>
        <v>999.96</v>
      </c>
      <c r="O68" s="3">
        <f t="shared" ca="1" si="5"/>
        <v>46143</v>
      </c>
      <c r="P68" s="8">
        <f t="shared" ca="1" si="6"/>
        <v>46143.95781284722</v>
      </c>
      <c r="Q68">
        <f t="shared" si="7"/>
        <v>466</v>
      </c>
      <c r="R68" s="3">
        <f t="shared" si="8"/>
        <v>45688</v>
      </c>
    </row>
    <row r="69" spans="1:18" ht="29.4" thickBot="1" x14ac:dyDescent="0.35">
      <c r="A69" s="2" t="s">
        <v>125</v>
      </c>
      <c r="B69" s="4">
        <v>45427</v>
      </c>
      <c r="C69" s="2" t="s">
        <v>55</v>
      </c>
      <c r="D69" s="2" t="s">
        <v>56</v>
      </c>
      <c r="E69" s="2" t="s">
        <v>126</v>
      </c>
      <c r="F69" s="2" t="s">
        <v>127</v>
      </c>
      <c r="G69" s="2" t="s">
        <v>46</v>
      </c>
      <c r="H69" s="21">
        <v>5</v>
      </c>
      <c r="I69" s="21">
        <v>199.99</v>
      </c>
      <c r="J69" s="2" t="s">
        <v>20</v>
      </c>
      <c r="K69" s="2" t="s">
        <v>35</v>
      </c>
      <c r="L69" s="2" t="s">
        <v>36</v>
      </c>
      <c r="M69" s="4">
        <v>44412</v>
      </c>
      <c r="N69" s="5">
        <f t="shared" si="9"/>
        <v>999.95</v>
      </c>
      <c r="O69" s="3">
        <f t="shared" ca="1" si="5"/>
        <v>46143</v>
      </c>
      <c r="P69" s="8">
        <f t="shared" ca="1" si="6"/>
        <v>46143.95781284722</v>
      </c>
      <c r="Q69">
        <f t="shared" si="7"/>
        <v>1015</v>
      </c>
      <c r="R69" s="3">
        <f t="shared" si="8"/>
        <v>45443</v>
      </c>
    </row>
    <row r="70" spans="1:18" ht="29.4" thickBot="1" x14ac:dyDescent="0.35">
      <c r="A70" s="2" t="s">
        <v>220</v>
      </c>
      <c r="B70" s="4">
        <v>45519</v>
      </c>
      <c r="C70" s="2" t="s">
        <v>158</v>
      </c>
      <c r="D70" s="2" t="s">
        <v>159</v>
      </c>
      <c r="E70" s="2" t="s">
        <v>126</v>
      </c>
      <c r="F70" s="2" t="s">
        <v>127</v>
      </c>
      <c r="G70" s="2" t="s">
        <v>46</v>
      </c>
      <c r="H70" s="21">
        <v>5</v>
      </c>
      <c r="I70" s="21">
        <v>199.99</v>
      </c>
      <c r="J70" s="2" t="s">
        <v>20</v>
      </c>
      <c r="K70" s="2" t="s">
        <v>40</v>
      </c>
      <c r="L70" s="2" t="s">
        <v>27</v>
      </c>
      <c r="M70" s="4">
        <v>44991</v>
      </c>
      <c r="N70" s="5">
        <f t="shared" si="9"/>
        <v>999.95</v>
      </c>
      <c r="O70" s="3">
        <f t="shared" ca="1" si="5"/>
        <v>46143</v>
      </c>
      <c r="P70" s="8">
        <f t="shared" ca="1" si="6"/>
        <v>46143.95781284722</v>
      </c>
      <c r="Q70">
        <f t="shared" si="7"/>
        <v>528</v>
      </c>
      <c r="R70" s="3">
        <f t="shared" si="8"/>
        <v>45535</v>
      </c>
    </row>
    <row r="71" spans="1:18" ht="29.4" thickBot="1" x14ac:dyDescent="0.35">
      <c r="A71" s="2" t="s">
        <v>330</v>
      </c>
      <c r="B71" s="4">
        <v>45667</v>
      </c>
      <c r="C71" s="2" t="s">
        <v>108</v>
      </c>
      <c r="D71" s="2" t="s">
        <v>109</v>
      </c>
      <c r="E71" s="2" t="s">
        <v>126</v>
      </c>
      <c r="F71" s="2" t="s">
        <v>127</v>
      </c>
      <c r="G71" s="2" t="s">
        <v>46</v>
      </c>
      <c r="H71" s="21">
        <v>5</v>
      </c>
      <c r="I71" s="21">
        <v>199.99</v>
      </c>
      <c r="J71" s="2" t="s">
        <v>34</v>
      </c>
      <c r="K71" s="2" t="s">
        <v>21</v>
      </c>
      <c r="L71" s="2" t="s">
        <v>36</v>
      </c>
      <c r="M71" s="4">
        <v>44633</v>
      </c>
      <c r="N71" s="5">
        <f t="shared" si="9"/>
        <v>999.95</v>
      </c>
      <c r="O71" s="3">
        <f t="shared" ca="1" si="5"/>
        <v>46143</v>
      </c>
      <c r="P71" s="8">
        <f t="shared" ca="1" si="6"/>
        <v>46143.95781284722</v>
      </c>
      <c r="Q71">
        <f t="shared" si="7"/>
        <v>1034</v>
      </c>
      <c r="R71" s="3">
        <f t="shared" si="8"/>
        <v>45688</v>
      </c>
    </row>
    <row r="72" spans="1:18" ht="29.4" thickBot="1" x14ac:dyDescent="0.35">
      <c r="A72" s="2" t="s">
        <v>82</v>
      </c>
      <c r="B72" s="4">
        <v>45409</v>
      </c>
      <c r="C72" s="2" t="s">
        <v>83</v>
      </c>
      <c r="D72" s="2" t="s">
        <v>84</v>
      </c>
      <c r="E72" s="2" t="s">
        <v>61</v>
      </c>
      <c r="F72" s="2" t="s">
        <v>62</v>
      </c>
      <c r="G72" s="2" t="s">
        <v>19</v>
      </c>
      <c r="H72" s="21">
        <v>1</v>
      </c>
      <c r="I72" s="21">
        <v>899.99</v>
      </c>
      <c r="J72" s="2" t="s">
        <v>57</v>
      </c>
      <c r="K72" s="2" t="s">
        <v>40</v>
      </c>
      <c r="L72" s="2" t="s">
        <v>36</v>
      </c>
      <c r="M72" s="4">
        <v>44920</v>
      </c>
      <c r="N72" s="5">
        <f t="shared" si="9"/>
        <v>899.99</v>
      </c>
      <c r="O72" s="3">
        <f t="shared" ca="1" si="5"/>
        <v>46143</v>
      </c>
      <c r="P72" s="8">
        <f t="shared" ca="1" si="6"/>
        <v>46143.95781284722</v>
      </c>
      <c r="Q72">
        <f t="shared" si="7"/>
        <v>489</v>
      </c>
      <c r="R72" s="3">
        <f t="shared" si="8"/>
        <v>45412</v>
      </c>
    </row>
    <row r="73" spans="1:18" ht="29.4" thickBot="1" x14ac:dyDescent="0.35">
      <c r="A73" s="2" t="s">
        <v>134</v>
      </c>
      <c r="B73" s="4">
        <v>45432</v>
      </c>
      <c r="C73" s="2" t="s">
        <v>29</v>
      </c>
      <c r="D73" s="2" t="s">
        <v>30</v>
      </c>
      <c r="E73" s="2" t="s">
        <v>61</v>
      </c>
      <c r="F73" s="2" t="s">
        <v>62</v>
      </c>
      <c r="G73" s="2" t="s">
        <v>19</v>
      </c>
      <c r="H73" s="21">
        <v>1</v>
      </c>
      <c r="I73" s="21">
        <v>899.99</v>
      </c>
      <c r="J73" s="2" t="s">
        <v>26</v>
      </c>
      <c r="K73" s="2" t="s">
        <v>50</v>
      </c>
      <c r="L73" s="2" t="s">
        <v>27</v>
      </c>
      <c r="M73" s="4">
        <v>44578</v>
      </c>
      <c r="N73" s="5">
        <f t="shared" si="9"/>
        <v>899.99</v>
      </c>
      <c r="O73" s="3">
        <f t="shared" ca="1" si="5"/>
        <v>46143</v>
      </c>
      <c r="P73" s="8">
        <f t="shared" ca="1" si="6"/>
        <v>46143.95781284722</v>
      </c>
      <c r="Q73">
        <f t="shared" si="7"/>
        <v>854</v>
      </c>
      <c r="R73" s="3">
        <f t="shared" si="8"/>
        <v>45443</v>
      </c>
    </row>
    <row r="74" spans="1:18" ht="29.4" thickBot="1" x14ac:dyDescent="0.35">
      <c r="A74" s="2" t="s">
        <v>200</v>
      </c>
      <c r="B74" s="4">
        <v>45496</v>
      </c>
      <c r="C74" s="2" t="s">
        <v>150</v>
      </c>
      <c r="D74" s="2" t="s">
        <v>151</v>
      </c>
      <c r="E74" s="2" t="s">
        <v>61</v>
      </c>
      <c r="F74" s="2" t="s">
        <v>62</v>
      </c>
      <c r="G74" s="2" t="s">
        <v>19</v>
      </c>
      <c r="H74" s="21">
        <v>1</v>
      </c>
      <c r="I74" s="21">
        <v>899.99</v>
      </c>
      <c r="J74" s="2" t="s">
        <v>20</v>
      </c>
      <c r="K74" s="2" t="s">
        <v>21</v>
      </c>
      <c r="L74" s="2" t="s">
        <v>36</v>
      </c>
      <c r="M74" s="4">
        <v>45179</v>
      </c>
      <c r="N74" s="5">
        <f t="shared" si="9"/>
        <v>899.99</v>
      </c>
      <c r="O74" s="3">
        <f t="shared" ca="1" si="5"/>
        <v>46143</v>
      </c>
      <c r="P74" s="8">
        <f t="shared" ca="1" si="6"/>
        <v>46143.95781284722</v>
      </c>
      <c r="Q74">
        <f t="shared" si="7"/>
        <v>317</v>
      </c>
      <c r="R74" s="3">
        <f t="shared" si="8"/>
        <v>45504</v>
      </c>
    </row>
    <row r="75" spans="1:18" ht="29.4" thickBot="1" x14ac:dyDescent="0.35">
      <c r="A75" s="2" t="s">
        <v>270</v>
      </c>
      <c r="B75" s="4">
        <v>45581</v>
      </c>
      <c r="C75" s="2" t="s">
        <v>150</v>
      </c>
      <c r="D75" s="2" t="s">
        <v>151</v>
      </c>
      <c r="E75" s="2" t="s">
        <v>61</v>
      </c>
      <c r="F75" s="2" t="s">
        <v>62</v>
      </c>
      <c r="G75" s="2" t="s">
        <v>19</v>
      </c>
      <c r="H75" s="21">
        <v>1</v>
      </c>
      <c r="I75" s="21">
        <v>899.99</v>
      </c>
      <c r="J75" s="2" t="s">
        <v>26</v>
      </c>
      <c r="K75" s="2" t="s">
        <v>63</v>
      </c>
      <c r="L75" s="2" t="s">
        <v>36</v>
      </c>
      <c r="M75" s="4">
        <v>45369</v>
      </c>
      <c r="N75" s="5">
        <f t="shared" si="9"/>
        <v>899.99</v>
      </c>
      <c r="O75" s="3">
        <f t="shared" ca="1" si="5"/>
        <v>46143</v>
      </c>
      <c r="P75" s="8">
        <f t="shared" ca="1" si="6"/>
        <v>46143.95781284722</v>
      </c>
      <c r="Q75">
        <f t="shared" si="7"/>
        <v>212</v>
      </c>
      <c r="R75" s="3">
        <f t="shared" si="8"/>
        <v>45596</v>
      </c>
    </row>
    <row r="76" spans="1:18" ht="29.4" thickBot="1" x14ac:dyDescent="0.35">
      <c r="A76" s="2" t="s">
        <v>322</v>
      </c>
      <c r="B76" s="4">
        <v>45657</v>
      </c>
      <c r="C76" s="2" t="s">
        <v>86</v>
      </c>
      <c r="D76" s="2" t="s">
        <v>87</v>
      </c>
      <c r="E76" s="2" t="s">
        <v>61</v>
      </c>
      <c r="F76" s="2" t="s">
        <v>62</v>
      </c>
      <c r="G76" s="2" t="s">
        <v>19</v>
      </c>
      <c r="H76" s="21">
        <v>1</v>
      </c>
      <c r="I76" s="21">
        <v>899.99</v>
      </c>
      <c r="J76" s="2" t="s">
        <v>34</v>
      </c>
      <c r="K76" s="2" t="s">
        <v>40</v>
      </c>
      <c r="L76" s="2" t="s">
        <v>27</v>
      </c>
      <c r="M76" s="4">
        <v>45050</v>
      </c>
      <c r="N76" s="5">
        <f t="shared" si="9"/>
        <v>899.99</v>
      </c>
      <c r="O76" s="3">
        <f t="shared" ca="1" si="5"/>
        <v>46143</v>
      </c>
      <c r="P76" s="8">
        <f t="shared" ca="1" si="6"/>
        <v>46143.95781284722</v>
      </c>
      <c r="Q76">
        <f t="shared" si="7"/>
        <v>607</v>
      </c>
      <c r="R76" s="3">
        <f t="shared" si="8"/>
        <v>45657</v>
      </c>
    </row>
    <row r="77" spans="1:18" ht="29.4" thickBot="1" x14ac:dyDescent="0.35">
      <c r="A77" s="2" t="s">
        <v>324</v>
      </c>
      <c r="B77" s="4">
        <v>45661</v>
      </c>
      <c r="C77" s="2" t="s">
        <v>325</v>
      </c>
      <c r="D77" s="2" t="s">
        <v>326</v>
      </c>
      <c r="E77" s="2" t="s">
        <v>61</v>
      </c>
      <c r="F77" s="2" t="s">
        <v>62</v>
      </c>
      <c r="G77" s="2" t="s">
        <v>19</v>
      </c>
      <c r="H77" s="21">
        <v>1</v>
      </c>
      <c r="I77" s="21">
        <v>899.99</v>
      </c>
      <c r="J77" s="2" t="s">
        <v>34</v>
      </c>
      <c r="K77" s="2" t="s">
        <v>40</v>
      </c>
      <c r="L77" s="2" t="s">
        <v>36</v>
      </c>
      <c r="M77" s="4">
        <v>44752</v>
      </c>
      <c r="N77" s="5">
        <f t="shared" si="9"/>
        <v>899.99</v>
      </c>
      <c r="O77" s="3">
        <f t="shared" ca="1" si="5"/>
        <v>46143</v>
      </c>
      <c r="P77" s="8">
        <f t="shared" ca="1" si="6"/>
        <v>46143.95781284722</v>
      </c>
      <c r="Q77">
        <f t="shared" si="7"/>
        <v>909</v>
      </c>
      <c r="R77" s="3">
        <f t="shared" si="8"/>
        <v>45688</v>
      </c>
    </row>
    <row r="78" spans="1:18" ht="29.4" thickBot="1" x14ac:dyDescent="0.35">
      <c r="A78" s="2" t="s">
        <v>135</v>
      </c>
      <c r="B78" s="4">
        <v>45434</v>
      </c>
      <c r="C78" s="2" t="s">
        <v>99</v>
      </c>
      <c r="D78" s="2" t="s">
        <v>100</v>
      </c>
      <c r="E78" s="2" t="s">
        <v>105</v>
      </c>
      <c r="F78" s="2" t="s">
        <v>106</v>
      </c>
      <c r="G78" s="2" t="s">
        <v>46</v>
      </c>
      <c r="H78" s="21">
        <v>3</v>
      </c>
      <c r="I78" s="21">
        <v>299.99</v>
      </c>
      <c r="J78" s="2" t="s">
        <v>26</v>
      </c>
      <c r="K78" s="2" t="s">
        <v>63</v>
      </c>
      <c r="L78" s="2" t="s">
        <v>22</v>
      </c>
      <c r="M78" s="4">
        <v>44824</v>
      </c>
      <c r="N78" s="5">
        <f t="shared" si="9"/>
        <v>899.97</v>
      </c>
      <c r="O78" s="3">
        <f t="shared" ca="1" si="5"/>
        <v>46143</v>
      </c>
      <c r="P78" s="8">
        <f t="shared" ca="1" si="6"/>
        <v>46143.95781284722</v>
      </c>
      <c r="Q78">
        <f t="shared" si="7"/>
        <v>610</v>
      </c>
      <c r="R78" s="3">
        <f t="shared" si="8"/>
        <v>45443</v>
      </c>
    </row>
    <row r="79" spans="1:18" ht="29.4" thickBot="1" x14ac:dyDescent="0.35">
      <c r="A79" s="2" t="s">
        <v>207</v>
      </c>
      <c r="B79" s="4">
        <v>45501</v>
      </c>
      <c r="C79" s="2" t="s">
        <v>147</v>
      </c>
      <c r="D79" s="2" t="s">
        <v>148</v>
      </c>
      <c r="E79" s="2" t="s">
        <v>105</v>
      </c>
      <c r="F79" s="2" t="s">
        <v>106</v>
      </c>
      <c r="G79" s="2" t="s">
        <v>46</v>
      </c>
      <c r="H79" s="21">
        <v>3</v>
      </c>
      <c r="I79" s="21">
        <v>299.99</v>
      </c>
      <c r="J79" s="2" t="s">
        <v>20</v>
      </c>
      <c r="K79" s="2" t="s">
        <v>21</v>
      </c>
      <c r="L79" s="2" t="s">
        <v>22</v>
      </c>
      <c r="M79" s="4">
        <v>44732</v>
      </c>
      <c r="N79" s="5">
        <f t="shared" si="9"/>
        <v>899.97</v>
      </c>
      <c r="O79" s="3">
        <f t="shared" ca="1" si="5"/>
        <v>46143</v>
      </c>
      <c r="P79" s="8">
        <f t="shared" ca="1" si="6"/>
        <v>46143.95781284722</v>
      </c>
      <c r="Q79">
        <f t="shared" si="7"/>
        <v>769</v>
      </c>
      <c r="R79" s="3">
        <f t="shared" si="8"/>
        <v>45504</v>
      </c>
    </row>
    <row r="80" spans="1:18" ht="29.4" thickBot="1" x14ac:dyDescent="0.35">
      <c r="A80" s="2" t="s">
        <v>243</v>
      </c>
      <c r="B80" s="4">
        <v>45547</v>
      </c>
      <c r="C80" s="2" t="s">
        <v>48</v>
      </c>
      <c r="D80" s="2" t="s">
        <v>49</v>
      </c>
      <c r="E80" s="2" t="s">
        <v>105</v>
      </c>
      <c r="F80" s="2" t="s">
        <v>106</v>
      </c>
      <c r="G80" s="2" t="s">
        <v>46</v>
      </c>
      <c r="H80" s="21">
        <v>3</v>
      </c>
      <c r="I80" s="21">
        <v>299.99</v>
      </c>
      <c r="J80" s="2" t="s">
        <v>26</v>
      </c>
      <c r="K80" s="2" t="s">
        <v>21</v>
      </c>
      <c r="L80" s="2" t="s">
        <v>27</v>
      </c>
      <c r="M80" s="4">
        <v>44494</v>
      </c>
      <c r="N80" s="5">
        <f t="shared" si="9"/>
        <v>899.97</v>
      </c>
      <c r="O80" s="3">
        <f t="shared" ca="1" si="5"/>
        <v>46143</v>
      </c>
      <c r="P80" s="8">
        <f t="shared" ca="1" si="6"/>
        <v>46143.95781284722</v>
      </c>
      <c r="Q80">
        <f t="shared" si="7"/>
        <v>1053</v>
      </c>
      <c r="R80" s="3">
        <f t="shared" si="8"/>
        <v>45565</v>
      </c>
    </row>
    <row r="81" spans="1:18" ht="29.4" thickBot="1" x14ac:dyDescent="0.35">
      <c r="A81" s="2" t="s">
        <v>266</v>
      </c>
      <c r="B81" s="4">
        <v>45576</v>
      </c>
      <c r="C81" s="2" t="s">
        <v>147</v>
      </c>
      <c r="D81" s="2" t="s">
        <v>148</v>
      </c>
      <c r="E81" s="2" t="s">
        <v>105</v>
      </c>
      <c r="F81" s="2" t="s">
        <v>106</v>
      </c>
      <c r="G81" s="2" t="s">
        <v>46</v>
      </c>
      <c r="H81" s="21">
        <v>3</v>
      </c>
      <c r="I81" s="21">
        <v>299.99</v>
      </c>
      <c r="J81" s="2" t="s">
        <v>26</v>
      </c>
      <c r="K81" s="2" t="s">
        <v>21</v>
      </c>
      <c r="L81" s="2" t="s">
        <v>36</v>
      </c>
      <c r="M81" s="4">
        <v>45174</v>
      </c>
      <c r="N81" s="5">
        <f t="shared" si="9"/>
        <v>899.97</v>
      </c>
      <c r="O81" s="3">
        <f t="shared" ca="1" si="5"/>
        <v>46143</v>
      </c>
      <c r="P81" s="8">
        <f t="shared" ca="1" si="6"/>
        <v>46143.95781284722</v>
      </c>
      <c r="Q81">
        <f t="shared" si="7"/>
        <v>402</v>
      </c>
      <c r="R81" s="3">
        <f t="shared" si="8"/>
        <v>45596</v>
      </c>
    </row>
    <row r="82" spans="1:18" ht="29.4" thickBot="1" x14ac:dyDescent="0.35">
      <c r="A82" s="2" t="s">
        <v>278</v>
      </c>
      <c r="B82" s="4">
        <v>45600</v>
      </c>
      <c r="C82" s="2" t="s">
        <v>65</v>
      </c>
      <c r="D82" s="2" t="s">
        <v>66</v>
      </c>
      <c r="E82" s="2" t="s">
        <v>105</v>
      </c>
      <c r="F82" s="2" t="s">
        <v>106</v>
      </c>
      <c r="G82" s="2" t="s">
        <v>46</v>
      </c>
      <c r="H82" s="21">
        <v>3</v>
      </c>
      <c r="I82" s="21">
        <v>299.99</v>
      </c>
      <c r="J82" s="2" t="s">
        <v>26</v>
      </c>
      <c r="K82" s="2" t="s">
        <v>35</v>
      </c>
      <c r="L82" s="2" t="s">
        <v>36</v>
      </c>
      <c r="M82" s="4">
        <v>44502</v>
      </c>
      <c r="N82" s="5">
        <f t="shared" si="9"/>
        <v>899.97</v>
      </c>
      <c r="O82" s="3">
        <f t="shared" ca="1" si="5"/>
        <v>46143</v>
      </c>
      <c r="P82" s="8">
        <f t="shared" ca="1" si="6"/>
        <v>46143.95781284722</v>
      </c>
      <c r="Q82">
        <f t="shared" si="7"/>
        <v>1098</v>
      </c>
      <c r="R82" s="3">
        <f t="shared" si="8"/>
        <v>45626</v>
      </c>
    </row>
    <row r="83" spans="1:18" ht="29.4" thickBot="1" x14ac:dyDescent="0.35">
      <c r="A83" s="2" t="s">
        <v>296</v>
      </c>
      <c r="B83" s="4">
        <v>45627</v>
      </c>
      <c r="C83" s="2" t="s">
        <v>29</v>
      </c>
      <c r="D83" s="2" t="s">
        <v>30</v>
      </c>
      <c r="E83" s="2" t="s">
        <v>105</v>
      </c>
      <c r="F83" s="2" t="s">
        <v>106</v>
      </c>
      <c r="G83" s="2" t="s">
        <v>46</v>
      </c>
      <c r="H83" s="21">
        <v>3</v>
      </c>
      <c r="I83" s="21">
        <v>299.99</v>
      </c>
      <c r="J83" s="2" t="s">
        <v>20</v>
      </c>
      <c r="K83" s="2" t="s">
        <v>35</v>
      </c>
      <c r="L83" s="2" t="s">
        <v>27</v>
      </c>
      <c r="M83" s="4">
        <v>44659</v>
      </c>
      <c r="N83" s="5">
        <f t="shared" si="9"/>
        <v>899.97</v>
      </c>
      <c r="O83" s="3">
        <f t="shared" ca="1" si="5"/>
        <v>46143</v>
      </c>
      <c r="P83" s="8">
        <f t="shared" ca="1" si="6"/>
        <v>46143.95781284722</v>
      </c>
      <c r="Q83">
        <f t="shared" si="7"/>
        <v>968</v>
      </c>
      <c r="R83" s="3">
        <f t="shared" si="8"/>
        <v>45657</v>
      </c>
    </row>
    <row r="84" spans="1:18" ht="29.4" thickBot="1" x14ac:dyDescent="0.35">
      <c r="A84" s="2" t="s">
        <v>328</v>
      </c>
      <c r="B84" s="4">
        <v>45663</v>
      </c>
      <c r="C84" s="2" t="s">
        <v>42</v>
      </c>
      <c r="D84" s="2" t="s">
        <v>43</v>
      </c>
      <c r="E84" s="2" t="s">
        <v>105</v>
      </c>
      <c r="F84" s="2" t="s">
        <v>106</v>
      </c>
      <c r="G84" s="2" t="s">
        <v>46</v>
      </c>
      <c r="H84" s="21">
        <v>3</v>
      </c>
      <c r="I84" s="21">
        <v>299.99</v>
      </c>
      <c r="J84" s="2" t="s">
        <v>20</v>
      </c>
      <c r="K84" s="2" t="s">
        <v>35</v>
      </c>
      <c r="L84" s="2" t="s">
        <v>36</v>
      </c>
      <c r="M84" s="4">
        <v>44422</v>
      </c>
      <c r="N84" s="5">
        <f t="shared" si="9"/>
        <v>899.97</v>
      </c>
      <c r="O84" s="3">
        <f t="shared" ca="1" si="5"/>
        <v>46143</v>
      </c>
      <c r="P84" s="8">
        <f t="shared" ca="1" si="6"/>
        <v>46143.95781284722</v>
      </c>
      <c r="Q84">
        <f t="shared" si="7"/>
        <v>1241</v>
      </c>
      <c r="R84" s="3">
        <f t="shared" si="8"/>
        <v>45688</v>
      </c>
    </row>
    <row r="85" spans="1:18" ht="29.4" thickBot="1" x14ac:dyDescent="0.35">
      <c r="A85" s="2" t="s">
        <v>338</v>
      </c>
      <c r="B85" s="4">
        <v>45671</v>
      </c>
      <c r="C85" s="2" t="s">
        <v>234</v>
      </c>
      <c r="D85" s="2" t="s">
        <v>235</v>
      </c>
      <c r="E85" s="2" t="s">
        <v>105</v>
      </c>
      <c r="F85" s="2" t="s">
        <v>106</v>
      </c>
      <c r="G85" s="2" t="s">
        <v>46</v>
      </c>
      <c r="H85" s="21">
        <v>3</v>
      </c>
      <c r="I85" s="21">
        <v>299.99</v>
      </c>
      <c r="J85" s="2" t="s">
        <v>26</v>
      </c>
      <c r="K85" s="2" t="s">
        <v>35</v>
      </c>
      <c r="L85" s="2" t="s">
        <v>22</v>
      </c>
      <c r="M85" s="4">
        <v>45204</v>
      </c>
      <c r="N85" s="5">
        <f t="shared" si="9"/>
        <v>899.97</v>
      </c>
      <c r="O85" s="3">
        <f t="shared" ca="1" si="5"/>
        <v>46143</v>
      </c>
      <c r="P85" s="8">
        <f t="shared" ca="1" si="6"/>
        <v>46143.95781284722</v>
      </c>
      <c r="Q85">
        <f t="shared" si="7"/>
        <v>467</v>
      </c>
      <c r="R85" s="3">
        <f t="shared" si="8"/>
        <v>45688</v>
      </c>
    </row>
    <row r="86" spans="1:18" ht="29.4" thickBot="1" x14ac:dyDescent="0.35">
      <c r="A86" s="2" t="s">
        <v>346</v>
      </c>
      <c r="B86" s="4">
        <v>45686</v>
      </c>
      <c r="C86" s="2" t="s">
        <v>86</v>
      </c>
      <c r="D86" s="2" t="s">
        <v>87</v>
      </c>
      <c r="E86" s="2" t="s">
        <v>105</v>
      </c>
      <c r="F86" s="2" t="s">
        <v>106</v>
      </c>
      <c r="G86" s="2" t="s">
        <v>46</v>
      </c>
      <c r="H86" s="21">
        <v>3</v>
      </c>
      <c r="I86" s="21">
        <v>299.99</v>
      </c>
      <c r="J86" s="2" t="s">
        <v>57</v>
      </c>
      <c r="K86" s="2" t="s">
        <v>50</v>
      </c>
      <c r="L86" s="2" t="s">
        <v>36</v>
      </c>
      <c r="M86" s="4">
        <v>44952</v>
      </c>
      <c r="N86" s="5">
        <f t="shared" si="9"/>
        <v>899.97</v>
      </c>
      <c r="O86" s="3">
        <f t="shared" ca="1" si="5"/>
        <v>46143</v>
      </c>
      <c r="P86" s="8">
        <f t="shared" ca="1" si="6"/>
        <v>46143.95781284722</v>
      </c>
      <c r="Q86">
        <f t="shared" si="7"/>
        <v>734</v>
      </c>
      <c r="R86" s="3">
        <f t="shared" si="8"/>
        <v>45688</v>
      </c>
    </row>
    <row r="87" spans="1:18" ht="29.4" thickBot="1" x14ac:dyDescent="0.35">
      <c r="A87" s="2" t="s">
        <v>384</v>
      </c>
      <c r="B87" s="4">
        <v>45739</v>
      </c>
      <c r="C87" s="2" t="s">
        <v>15</v>
      </c>
      <c r="D87" s="2" t="s">
        <v>16</v>
      </c>
      <c r="E87" s="2" t="s">
        <v>105</v>
      </c>
      <c r="F87" s="2" t="s">
        <v>106</v>
      </c>
      <c r="G87" s="2" t="s">
        <v>46</v>
      </c>
      <c r="H87" s="21">
        <v>3</v>
      </c>
      <c r="I87" s="21">
        <v>299.99</v>
      </c>
      <c r="J87" s="2" t="s">
        <v>26</v>
      </c>
      <c r="K87" s="2" t="s">
        <v>50</v>
      </c>
      <c r="L87" s="2" t="s">
        <v>27</v>
      </c>
      <c r="M87" s="4">
        <v>45234</v>
      </c>
      <c r="N87" s="5">
        <f t="shared" si="9"/>
        <v>899.97</v>
      </c>
      <c r="O87" s="3">
        <f t="shared" ca="1" si="5"/>
        <v>46143</v>
      </c>
      <c r="P87" s="8">
        <f t="shared" ca="1" si="6"/>
        <v>46143.95781284722</v>
      </c>
      <c r="Q87">
        <f t="shared" si="7"/>
        <v>505</v>
      </c>
      <c r="R87" s="3">
        <f t="shared" si="8"/>
        <v>45747</v>
      </c>
    </row>
    <row r="88" spans="1:18" ht="29.4" thickBot="1" x14ac:dyDescent="0.35">
      <c r="A88" s="2" t="s">
        <v>219</v>
      </c>
      <c r="B88" s="4">
        <v>45517</v>
      </c>
      <c r="C88" s="2" t="s">
        <v>38</v>
      </c>
      <c r="D88" s="2" t="s">
        <v>39</v>
      </c>
      <c r="E88" s="2" t="s">
        <v>126</v>
      </c>
      <c r="F88" s="2" t="s">
        <v>127</v>
      </c>
      <c r="G88" s="2" t="s">
        <v>46</v>
      </c>
      <c r="H88" s="21">
        <v>4</v>
      </c>
      <c r="I88" s="21">
        <v>199.99</v>
      </c>
      <c r="J88" s="2" t="s">
        <v>20</v>
      </c>
      <c r="K88" s="2" t="s">
        <v>40</v>
      </c>
      <c r="L88" s="2" t="s">
        <v>36</v>
      </c>
      <c r="M88" s="4">
        <v>44458</v>
      </c>
      <c r="N88" s="5">
        <f t="shared" si="9"/>
        <v>799.96</v>
      </c>
      <c r="O88" s="3">
        <f t="shared" ca="1" si="5"/>
        <v>46143</v>
      </c>
      <c r="P88" s="8">
        <f t="shared" ca="1" si="6"/>
        <v>46143.95781284722</v>
      </c>
      <c r="Q88">
        <f t="shared" si="7"/>
        <v>1059</v>
      </c>
      <c r="R88" s="3">
        <f t="shared" si="8"/>
        <v>45535</v>
      </c>
    </row>
    <row r="89" spans="1:18" ht="29.4" thickBot="1" x14ac:dyDescent="0.35">
      <c r="A89" s="2" t="s">
        <v>249</v>
      </c>
      <c r="B89" s="4">
        <v>45551</v>
      </c>
      <c r="C89" s="2" t="s">
        <v>154</v>
      </c>
      <c r="D89" s="2" t="s">
        <v>155</v>
      </c>
      <c r="E89" s="2" t="s">
        <v>126</v>
      </c>
      <c r="F89" s="2" t="s">
        <v>127</v>
      </c>
      <c r="G89" s="2" t="s">
        <v>46</v>
      </c>
      <c r="H89" s="21">
        <v>4</v>
      </c>
      <c r="I89" s="21">
        <v>199.99</v>
      </c>
      <c r="J89" s="2" t="s">
        <v>57</v>
      </c>
      <c r="K89" s="2" t="s">
        <v>63</v>
      </c>
      <c r="L89" s="2" t="s">
        <v>22</v>
      </c>
      <c r="M89" s="4">
        <v>44458</v>
      </c>
      <c r="N89" s="5">
        <f t="shared" si="9"/>
        <v>799.96</v>
      </c>
      <c r="O89" s="3">
        <f t="shared" ca="1" si="5"/>
        <v>46143</v>
      </c>
      <c r="P89" s="8">
        <f t="shared" ca="1" si="6"/>
        <v>46143.95781284722</v>
      </c>
      <c r="Q89">
        <f t="shared" si="7"/>
        <v>1093</v>
      </c>
      <c r="R89" s="3">
        <f t="shared" si="8"/>
        <v>45565</v>
      </c>
    </row>
    <row r="90" spans="1:18" ht="29.4" thickBot="1" x14ac:dyDescent="0.35">
      <c r="A90" s="2" t="s">
        <v>289</v>
      </c>
      <c r="B90" s="4">
        <v>45617</v>
      </c>
      <c r="C90" s="2" t="s">
        <v>123</v>
      </c>
      <c r="D90" s="2" t="s">
        <v>124</v>
      </c>
      <c r="E90" s="2" t="s">
        <v>126</v>
      </c>
      <c r="F90" s="2" t="s">
        <v>127</v>
      </c>
      <c r="G90" s="2" t="s">
        <v>46</v>
      </c>
      <c r="H90" s="21">
        <v>4</v>
      </c>
      <c r="I90" s="21">
        <v>199.99</v>
      </c>
      <c r="J90" s="2" t="s">
        <v>57</v>
      </c>
      <c r="K90" s="2" t="s">
        <v>21</v>
      </c>
      <c r="L90" s="2" t="s">
        <v>27</v>
      </c>
      <c r="M90" s="4">
        <v>44427</v>
      </c>
      <c r="N90" s="5">
        <f t="shared" si="9"/>
        <v>799.96</v>
      </c>
      <c r="O90" s="3">
        <f t="shared" ca="1" si="5"/>
        <v>46143</v>
      </c>
      <c r="P90" s="8">
        <f t="shared" ca="1" si="6"/>
        <v>46143.95781284722</v>
      </c>
      <c r="Q90">
        <f t="shared" si="7"/>
        <v>1190</v>
      </c>
      <c r="R90" s="3">
        <f t="shared" si="8"/>
        <v>45626</v>
      </c>
    </row>
    <row r="91" spans="1:18" ht="29.4" thickBot="1" x14ac:dyDescent="0.35">
      <c r="A91" s="2" t="s">
        <v>319</v>
      </c>
      <c r="B91" s="4">
        <v>45654</v>
      </c>
      <c r="C91" s="2" t="s">
        <v>120</v>
      </c>
      <c r="D91" s="2" t="s">
        <v>121</v>
      </c>
      <c r="E91" s="2" t="s">
        <v>126</v>
      </c>
      <c r="F91" s="2" t="s">
        <v>127</v>
      </c>
      <c r="G91" s="2" t="s">
        <v>46</v>
      </c>
      <c r="H91" s="21">
        <v>4</v>
      </c>
      <c r="I91" s="21">
        <v>199.99</v>
      </c>
      <c r="J91" s="2" t="s">
        <v>26</v>
      </c>
      <c r="K91" s="2" t="s">
        <v>21</v>
      </c>
      <c r="L91" s="2" t="s">
        <v>22</v>
      </c>
      <c r="M91" s="4">
        <v>44523</v>
      </c>
      <c r="N91" s="5">
        <f t="shared" si="9"/>
        <v>799.96</v>
      </c>
      <c r="O91" s="3">
        <f t="shared" ca="1" si="5"/>
        <v>46143</v>
      </c>
      <c r="P91" s="8">
        <f t="shared" ca="1" si="6"/>
        <v>46143.95781284722</v>
      </c>
      <c r="Q91">
        <f t="shared" si="7"/>
        <v>1131</v>
      </c>
      <c r="R91" s="3">
        <f t="shared" si="8"/>
        <v>45657</v>
      </c>
    </row>
    <row r="92" spans="1:18" ht="29.4" thickBot="1" x14ac:dyDescent="0.35">
      <c r="A92" s="2" t="s">
        <v>339</v>
      </c>
      <c r="B92" s="4">
        <v>45673</v>
      </c>
      <c r="C92" s="2" t="s">
        <v>226</v>
      </c>
      <c r="D92" s="2" t="s">
        <v>227</v>
      </c>
      <c r="E92" s="2" t="s">
        <v>126</v>
      </c>
      <c r="F92" s="2" t="s">
        <v>127</v>
      </c>
      <c r="G92" s="2" t="s">
        <v>46</v>
      </c>
      <c r="H92" s="21">
        <v>4</v>
      </c>
      <c r="I92" s="21">
        <v>199.99</v>
      </c>
      <c r="J92" s="2" t="s">
        <v>57</v>
      </c>
      <c r="K92" s="2" t="s">
        <v>35</v>
      </c>
      <c r="L92" s="2" t="s">
        <v>36</v>
      </c>
      <c r="M92" s="4">
        <v>44544</v>
      </c>
      <c r="N92" s="5">
        <f t="shared" si="9"/>
        <v>799.96</v>
      </c>
      <c r="O92" s="3">
        <f t="shared" ca="1" si="5"/>
        <v>46143</v>
      </c>
      <c r="P92" s="8">
        <f t="shared" ca="1" si="6"/>
        <v>46143.95781284722</v>
      </c>
      <c r="Q92">
        <f t="shared" si="7"/>
        <v>1129</v>
      </c>
      <c r="R92" s="3">
        <f t="shared" si="8"/>
        <v>45688</v>
      </c>
    </row>
    <row r="93" spans="1:18" ht="29.4" thickBot="1" x14ac:dyDescent="0.35">
      <c r="A93" s="2" t="s">
        <v>14</v>
      </c>
      <c r="B93" s="4">
        <v>45393</v>
      </c>
      <c r="C93" s="2" t="s">
        <v>15</v>
      </c>
      <c r="D93" s="2" t="s">
        <v>16</v>
      </c>
      <c r="E93" s="2" t="s">
        <v>17</v>
      </c>
      <c r="F93" s="2" t="s">
        <v>18</v>
      </c>
      <c r="G93" s="2" t="s">
        <v>19</v>
      </c>
      <c r="H93" s="21">
        <v>3</v>
      </c>
      <c r="I93" s="21">
        <v>249.99</v>
      </c>
      <c r="J93" s="2" t="s">
        <v>20</v>
      </c>
      <c r="K93" s="2" t="s">
        <v>21</v>
      </c>
      <c r="L93" s="2" t="s">
        <v>22</v>
      </c>
      <c r="M93" s="4">
        <v>44425</v>
      </c>
      <c r="N93" s="5">
        <f t="shared" si="9"/>
        <v>749.97</v>
      </c>
      <c r="O93" s="3">
        <f t="shared" ca="1" si="5"/>
        <v>46143</v>
      </c>
      <c r="P93" s="8">
        <f t="shared" ca="1" si="6"/>
        <v>46143.95781284722</v>
      </c>
      <c r="Q93">
        <f t="shared" si="7"/>
        <v>968</v>
      </c>
      <c r="R93" s="3">
        <f t="shared" si="8"/>
        <v>45412</v>
      </c>
    </row>
    <row r="94" spans="1:18" ht="29.4" thickBot="1" x14ac:dyDescent="0.35">
      <c r="A94" s="2" t="s">
        <v>23</v>
      </c>
      <c r="B94" s="4">
        <v>45396</v>
      </c>
      <c r="C94" s="2" t="s">
        <v>24</v>
      </c>
      <c r="D94" s="2" t="s">
        <v>25</v>
      </c>
      <c r="E94" s="2" t="s">
        <v>17</v>
      </c>
      <c r="F94" s="2" t="s">
        <v>18</v>
      </c>
      <c r="G94" s="2" t="s">
        <v>19</v>
      </c>
      <c r="H94" s="21">
        <v>3</v>
      </c>
      <c r="I94" s="21">
        <v>249.99</v>
      </c>
      <c r="J94" s="2" t="s">
        <v>26</v>
      </c>
      <c r="K94" s="2" t="s">
        <v>21</v>
      </c>
      <c r="L94" s="2" t="s">
        <v>27</v>
      </c>
      <c r="M94" s="4">
        <v>44575</v>
      </c>
      <c r="N94" s="5">
        <f t="shared" si="9"/>
        <v>749.97</v>
      </c>
      <c r="O94" s="3">
        <f t="shared" ca="1" si="5"/>
        <v>46143</v>
      </c>
      <c r="P94" s="8">
        <f t="shared" ca="1" si="6"/>
        <v>46143.95781284722</v>
      </c>
      <c r="Q94">
        <f t="shared" si="7"/>
        <v>821</v>
      </c>
      <c r="R94" s="3">
        <f t="shared" si="8"/>
        <v>45412</v>
      </c>
    </row>
    <row r="95" spans="1:18" ht="29.4" thickBot="1" x14ac:dyDescent="0.35">
      <c r="A95" s="2" t="s">
        <v>92</v>
      </c>
      <c r="B95" s="4">
        <v>45410</v>
      </c>
      <c r="C95" s="2" t="s">
        <v>93</v>
      </c>
      <c r="D95" s="2" t="s">
        <v>94</v>
      </c>
      <c r="E95" s="2" t="s">
        <v>17</v>
      </c>
      <c r="F95" s="2" t="s">
        <v>18</v>
      </c>
      <c r="G95" s="2" t="s">
        <v>19</v>
      </c>
      <c r="H95" s="21">
        <v>3</v>
      </c>
      <c r="I95" s="21">
        <v>249.99</v>
      </c>
      <c r="J95" s="2" t="s">
        <v>26</v>
      </c>
      <c r="K95" s="2" t="s">
        <v>40</v>
      </c>
      <c r="L95" s="2" t="s">
        <v>27</v>
      </c>
      <c r="M95" s="4">
        <v>45224</v>
      </c>
      <c r="N95" s="5">
        <f t="shared" si="9"/>
        <v>749.97</v>
      </c>
      <c r="O95" s="3">
        <f t="shared" ca="1" si="5"/>
        <v>46143</v>
      </c>
      <c r="P95" s="8">
        <f t="shared" ca="1" si="6"/>
        <v>46143.95781284722</v>
      </c>
      <c r="Q95">
        <f t="shared" si="7"/>
        <v>186</v>
      </c>
      <c r="R95" s="3">
        <f t="shared" si="8"/>
        <v>45412</v>
      </c>
    </row>
    <row r="96" spans="1:18" ht="29.4" thickBot="1" x14ac:dyDescent="0.35">
      <c r="A96" s="2" t="s">
        <v>218</v>
      </c>
      <c r="B96" s="4">
        <v>45517</v>
      </c>
      <c r="C96" s="2" t="s">
        <v>65</v>
      </c>
      <c r="D96" s="2" t="s">
        <v>66</v>
      </c>
      <c r="E96" s="2" t="s">
        <v>17</v>
      </c>
      <c r="F96" s="2" t="s">
        <v>18</v>
      </c>
      <c r="G96" s="2" t="s">
        <v>19</v>
      </c>
      <c r="H96" s="21">
        <v>3</v>
      </c>
      <c r="I96" s="21">
        <v>249.99</v>
      </c>
      <c r="J96" s="2" t="s">
        <v>34</v>
      </c>
      <c r="K96" s="2" t="s">
        <v>40</v>
      </c>
      <c r="L96" s="2" t="s">
        <v>27</v>
      </c>
      <c r="M96" s="4">
        <v>44465</v>
      </c>
      <c r="N96" s="5">
        <f t="shared" si="9"/>
        <v>749.97</v>
      </c>
      <c r="O96" s="3">
        <f t="shared" ca="1" si="5"/>
        <v>46143</v>
      </c>
      <c r="P96" s="8">
        <f t="shared" ca="1" si="6"/>
        <v>46143.95781284722</v>
      </c>
      <c r="Q96">
        <f t="shared" si="7"/>
        <v>1052</v>
      </c>
      <c r="R96" s="3">
        <f t="shared" si="8"/>
        <v>45535</v>
      </c>
    </row>
    <row r="97" spans="1:18" ht="29.4" thickBot="1" x14ac:dyDescent="0.35">
      <c r="A97" s="2" t="s">
        <v>41</v>
      </c>
      <c r="B97" s="4">
        <v>45400</v>
      </c>
      <c r="C97" s="2" t="s">
        <v>42</v>
      </c>
      <c r="D97" s="2" t="s">
        <v>43</v>
      </c>
      <c r="E97" s="2" t="s">
        <v>44</v>
      </c>
      <c r="F97" s="2" t="s">
        <v>45</v>
      </c>
      <c r="G97" s="2" t="s">
        <v>46</v>
      </c>
      <c r="H97" s="21">
        <v>5</v>
      </c>
      <c r="I97" s="21">
        <v>149.99</v>
      </c>
      <c r="J97" s="2" t="s">
        <v>26</v>
      </c>
      <c r="K97" s="2" t="s">
        <v>40</v>
      </c>
      <c r="L97" s="2" t="s">
        <v>27</v>
      </c>
      <c r="M97" s="4">
        <v>45295</v>
      </c>
      <c r="N97" s="5">
        <f t="shared" si="9"/>
        <v>749.95</v>
      </c>
      <c r="O97" s="3">
        <f t="shared" ca="1" si="5"/>
        <v>46143</v>
      </c>
      <c r="P97" s="8">
        <f t="shared" ca="1" si="6"/>
        <v>46143.95781284722</v>
      </c>
      <c r="Q97">
        <f t="shared" si="7"/>
        <v>105</v>
      </c>
      <c r="R97" s="3">
        <f t="shared" si="8"/>
        <v>45412</v>
      </c>
    </row>
    <row r="98" spans="1:18" ht="29.4" thickBot="1" x14ac:dyDescent="0.35">
      <c r="A98" s="2" t="s">
        <v>51</v>
      </c>
      <c r="B98" s="4">
        <v>45403</v>
      </c>
      <c r="C98" s="2" t="s">
        <v>48</v>
      </c>
      <c r="D98" s="2" t="s">
        <v>49</v>
      </c>
      <c r="E98" s="2" t="s">
        <v>52</v>
      </c>
      <c r="F98" s="2" t="s">
        <v>53</v>
      </c>
      <c r="G98" s="2" t="s">
        <v>19</v>
      </c>
      <c r="H98" s="21">
        <v>5</v>
      </c>
      <c r="I98" s="21">
        <v>149.99</v>
      </c>
      <c r="J98" s="2" t="s">
        <v>26</v>
      </c>
      <c r="K98" s="2" t="s">
        <v>21</v>
      </c>
      <c r="L98" s="2" t="s">
        <v>36</v>
      </c>
      <c r="M98" s="4">
        <v>44418</v>
      </c>
      <c r="N98" s="5">
        <f t="shared" si="9"/>
        <v>749.95</v>
      </c>
      <c r="O98" s="3">
        <f t="shared" ca="1" si="5"/>
        <v>46143</v>
      </c>
      <c r="P98" s="8">
        <f t="shared" ca="1" si="6"/>
        <v>46143.95781284722</v>
      </c>
      <c r="Q98">
        <f t="shared" si="7"/>
        <v>985</v>
      </c>
      <c r="R98" s="3">
        <f t="shared" si="8"/>
        <v>45412</v>
      </c>
    </row>
    <row r="99" spans="1:18" ht="29.4" thickBot="1" x14ac:dyDescent="0.35">
      <c r="A99" s="2" t="s">
        <v>70</v>
      </c>
      <c r="B99" s="4">
        <v>45408</v>
      </c>
      <c r="C99" s="2" t="s">
        <v>38</v>
      </c>
      <c r="D99" s="2" t="s">
        <v>39</v>
      </c>
      <c r="E99" s="2" t="s">
        <v>44</v>
      </c>
      <c r="F99" s="2" t="s">
        <v>45</v>
      </c>
      <c r="G99" s="2" t="s">
        <v>46</v>
      </c>
      <c r="H99" s="21">
        <v>5</v>
      </c>
      <c r="I99" s="21">
        <v>149.99</v>
      </c>
      <c r="J99" s="2" t="s">
        <v>57</v>
      </c>
      <c r="K99" s="2" t="s">
        <v>40</v>
      </c>
      <c r="L99" s="2" t="s">
        <v>22</v>
      </c>
      <c r="M99" s="4">
        <v>44830</v>
      </c>
      <c r="N99" s="5">
        <f t="shared" si="9"/>
        <v>749.95</v>
      </c>
      <c r="O99" s="3">
        <f t="shared" ca="1" si="5"/>
        <v>46143</v>
      </c>
      <c r="P99" s="8">
        <f t="shared" ca="1" si="6"/>
        <v>46143.95781284722</v>
      </c>
      <c r="Q99">
        <f t="shared" si="7"/>
        <v>578</v>
      </c>
      <c r="R99" s="3">
        <f t="shared" si="8"/>
        <v>45412</v>
      </c>
    </row>
    <row r="100" spans="1:18" ht="29.4" thickBot="1" x14ac:dyDescent="0.35">
      <c r="A100" s="2" t="s">
        <v>224</v>
      </c>
      <c r="B100" s="4">
        <v>45526</v>
      </c>
      <c r="C100" s="2" t="s">
        <v>102</v>
      </c>
      <c r="D100" s="2" t="s">
        <v>103</v>
      </c>
      <c r="E100" s="2" t="s">
        <v>44</v>
      </c>
      <c r="F100" s="2" t="s">
        <v>45</v>
      </c>
      <c r="G100" s="2" t="s">
        <v>46</v>
      </c>
      <c r="H100" s="21">
        <v>5</v>
      </c>
      <c r="I100" s="21">
        <v>149.99</v>
      </c>
      <c r="J100" s="2" t="s">
        <v>26</v>
      </c>
      <c r="K100" s="2" t="s">
        <v>21</v>
      </c>
      <c r="L100" s="2" t="s">
        <v>22</v>
      </c>
      <c r="M100" s="4">
        <v>45310</v>
      </c>
      <c r="N100" s="5">
        <f t="shared" si="9"/>
        <v>749.95</v>
      </c>
      <c r="O100" s="3">
        <f t="shared" ca="1" si="5"/>
        <v>46143</v>
      </c>
      <c r="P100" s="8">
        <f t="shared" ca="1" si="6"/>
        <v>46143.95781284722</v>
      </c>
      <c r="Q100">
        <f t="shared" si="7"/>
        <v>216</v>
      </c>
      <c r="R100" s="3">
        <f t="shared" si="8"/>
        <v>45535</v>
      </c>
    </row>
    <row r="101" spans="1:18" ht="29.4" thickBot="1" x14ac:dyDescent="0.35">
      <c r="A101" s="2" t="s">
        <v>285</v>
      </c>
      <c r="B101" s="4">
        <v>45608</v>
      </c>
      <c r="C101" s="2" t="s">
        <v>154</v>
      </c>
      <c r="D101" s="2" t="s">
        <v>155</v>
      </c>
      <c r="E101" s="2" t="s">
        <v>44</v>
      </c>
      <c r="F101" s="2" t="s">
        <v>45</v>
      </c>
      <c r="G101" s="2" t="s">
        <v>46</v>
      </c>
      <c r="H101" s="21">
        <v>5</v>
      </c>
      <c r="I101" s="21">
        <v>149.99</v>
      </c>
      <c r="J101" s="2" t="s">
        <v>34</v>
      </c>
      <c r="K101" s="2" t="s">
        <v>21</v>
      </c>
      <c r="L101" s="2" t="s">
        <v>22</v>
      </c>
      <c r="M101" s="4">
        <v>44901</v>
      </c>
      <c r="N101" s="5">
        <f t="shared" si="9"/>
        <v>749.95</v>
      </c>
      <c r="O101" s="3">
        <f t="shared" ca="1" si="5"/>
        <v>46143</v>
      </c>
      <c r="P101" s="8">
        <f t="shared" ca="1" si="6"/>
        <v>46143.95781284722</v>
      </c>
      <c r="Q101">
        <f t="shared" si="7"/>
        <v>707</v>
      </c>
      <c r="R101" s="3">
        <f t="shared" si="8"/>
        <v>45626</v>
      </c>
    </row>
    <row r="102" spans="1:18" ht="29.4" thickBot="1" x14ac:dyDescent="0.35">
      <c r="A102" s="2" t="s">
        <v>287</v>
      </c>
      <c r="B102" s="4">
        <v>45613</v>
      </c>
      <c r="C102" s="2" t="s">
        <v>234</v>
      </c>
      <c r="D102" s="2" t="s">
        <v>235</v>
      </c>
      <c r="E102" s="2" t="s">
        <v>44</v>
      </c>
      <c r="F102" s="2" t="s">
        <v>45</v>
      </c>
      <c r="G102" s="2" t="s">
        <v>46</v>
      </c>
      <c r="H102" s="21">
        <v>5</v>
      </c>
      <c r="I102" s="21">
        <v>149.99</v>
      </c>
      <c r="J102" s="2" t="s">
        <v>20</v>
      </c>
      <c r="K102" s="2" t="s">
        <v>40</v>
      </c>
      <c r="L102" s="2" t="s">
        <v>22</v>
      </c>
      <c r="M102" s="4">
        <v>44869</v>
      </c>
      <c r="N102" s="5">
        <f t="shared" si="9"/>
        <v>749.95</v>
      </c>
      <c r="O102" s="3">
        <f t="shared" ca="1" si="5"/>
        <v>46143</v>
      </c>
      <c r="P102" s="8">
        <f t="shared" ca="1" si="6"/>
        <v>46143.95781284722</v>
      </c>
      <c r="Q102">
        <f t="shared" si="7"/>
        <v>744</v>
      </c>
      <c r="R102" s="3">
        <f t="shared" si="8"/>
        <v>45626</v>
      </c>
    </row>
    <row r="103" spans="1:18" ht="29.4" thickBot="1" x14ac:dyDescent="0.35">
      <c r="A103" s="2" t="s">
        <v>321</v>
      </c>
      <c r="B103" s="4">
        <v>45655</v>
      </c>
      <c r="C103" s="2" t="s">
        <v>108</v>
      </c>
      <c r="D103" s="2" t="s">
        <v>109</v>
      </c>
      <c r="E103" s="2" t="s">
        <v>44</v>
      </c>
      <c r="F103" s="2" t="s">
        <v>45</v>
      </c>
      <c r="G103" s="2" t="s">
        <v>46</v>
      </c>
      <c r="H103" s="21">
        <v>5</v>
      </c>
      <c r="I103" s="21">
        <v>149.99</v>
      </c>
      <c r="J103" s="2" t="s">
        <v>20</v>
      </c>
      <c r="K103" s="2" t="s">
        <v>21</v>
      </c>
      <c r="L103" s="2" t="s">
        <v>27</v>
      </c>
      <c r="M103" s="4">
        <v>45347</v>
      </c>
      <c r="N103" s="5">
        <f t="shared" si="9"/>
        <v>749.95</v>
      </c>
      <c r="O103" s="3">
        <f t="shared" ca="1" si="5"/>
        <v>46143</v>
      </c>
      <c r="P103" s="8">
        <f t="shared" ca="1" si="6"/>
        <v>46143.95781284722</v>
      </c>
      <c r="Q103">
        <f t="shared" si="7"/>
        <v>308</v>
      </c>
      <c r="R103" s="3">
        <f t="shared" si="8"/>
        <v>45657</v>
      </c>
    </row>
    <row r="104" spans="1:18" ht="29.4" thickBot="1" x14ac:dyDescent="0.35">
      <c r="A104" s="2" t="s">
        <v>327</v>
      </c>
      <c r="B104" s="4">
        <v>45663</v>
      </c>
      <c r="C104" s="2" t="s">
        <v>129</v>
      </c>
      <c r="D104" s="2" t="s">
        <v>130</v>
      </c>
      <c r="E104" s="2" t="s">
        <v>52</v>
      </c>
      <c r="F104" s="2" t="s">
        <v>53</v>
      </c>
      <c r="G104" s="2" t="s">
        <v>19</v>
      </c>
      <c r="H104" s="21">
        <v>5</v>
      </c>
      <c r="I104" s="21">
        <v>149.99</v>
      </c>
      <c r="J104" s="2" t="s">
        <v>34</v>
      </c>
      <c r="K104" s="2" t="s">
        <v>63</v>
      </c>
      <c r="L104" s="2" t="s">
        <v>27</v>
      </c>
      <c r="M104" s="4">
        <v>44824</v>
      </c>
      <c r="N104" s="5">
        <f t="shared" si="9"/>
        <v>749.95</v>
      </c>
      <c r="O104" s="3">
        <f t="shared" ca="1" si="5"/>
        <v>46143</v>
      </c>
      <c r="P104" s="8">
        <f t="shared" ca="1" si="6"/>
        <v>46143.95781284722</v>
      </c>
      <c r="Q104">
        <f t="shared" si="7"/>
        <v>839</v>
      </c>
      <c r="R104" s="3">
        <f t="shared" si="8"/>
        <v>45688</v>
      </c>
    </row>
    <row r="105" spans="1:18" ht="29.4" thickBot="1" x14ac:dyDescent="0.35">
      <c r="A105" s="2" t="s">
        <v>229</v>
      </c>
      <c r="B105" s="4">
        <v>45532</v>
      </c>
      <c r="C105" s="2" t="s">
        <v>196</v>
      </c>
      <c r="D105" s="2" t="s">
        <v>197</v>
      </c>
      <c r="E105" s="2" t="s">
        <v>80</v>
      </c>
      <c r="F105" s="2" t="s">
        <v>81</v>
      </c>
      <c r="G105" s="2" t="s">
        <v>19</v>
      </c>
      <c r="H105" s="21">
        <v>1</v>
      </c>
      <c r="I105" s="21">
        <v>699.99</v>
      </c>
      <c r="J105" s="2" t="s">
        <v>20</v>
      </c>
      <c r="K105" s="2" t="s">
        <v>21</v>
      </c>
      <c r="L105" s="2" t="s">
        <v>27</v>
      </c>
      <c r="M105" s="4">
        <v>44497</v>
      </c>
      <c r="N105" s="5">
        <f t="shared" si="9"/>
        <v>699.99</v>
      </c>
      <c r="O105" s="3">
        <f t="shared" ca="1" si="5"/>
        <v>46143</v>
      </c>
      <c r="P105" s="8">
        <f t="shared" ca="1" si="6"/>
        <v>46143.95781284722</v>
      </c>
      <c r="Q105">
        <f t="shared" si="7"/>
        <v>1035</v>
      </c>
      <c r="R105" s="3">
        <f t="shared" si="8"/>
        <v>45535</v>
      </c>
    </row>
    <row r="106" spans="1:18" ht="29.4" thickBot="1" x14ac:dyDescent="0.35">
      <c r="A106" s="2" t="s">
        <v>364</v>
      </c>
      <c r="B106" s="4">
        <v>45710</v>
      </c>
      <c r="C106" s="2" t="s">
        <v>150</v>
      </c>
      <c r="D106" s="2" t="s">
        <v>151</v>
      </c>
      <c r="E106" s="2" t="s">
        <v>80</v>
      </c>
      <c r="F106" s="2" t="s">
        <v>81</v>
      </c>
      <c r="G106" s="2" t="s">
        <v>19</v>
      </c>
      <c r="H106" s="21">
        <v>1</v>
      </c>
      <c r="I106" s="21">
        <v>699.99</v>
      </c>
      <c r="J106" s="2" t="s">
        <v>34</v>
      </c>
      <c r="K106" s="2" t="s">
        <v>50</v>
      </c>
      <c r="L106" s="2" t="s">
        <v>22</v>
      </c>
      <c r="M106" s="4">
        <v>44934</v>
      </c>
      <c r="N106" s="5">
        <f t="shared" si="9"/>
        <v>699.99</v>
      </c>
      <c r="O106" s="3">
        <f t="shared" ca="1" si="5"/>
        <v>46143</v>
      </c>
      <c r="P106" s="8">
        <f t="shared" ca="1" si="6"/>
        <v>46143.95781284722</v>
      </c>
      <c r="Q106">
        <f t="shared" si="7"/>
        <v>776</v>
      </c>
      <c r="R106" s="3">
        <f t="shared" si="8"/>
        <v>45716</v>
      </c>
    </row>
    <row r="107" spans="1:18" ht="29.4" thickBot="1" x14ac:dyDescent="0.35">
      <c r="A107" s="2" t="s">
        <v>365</v>
      </c>
      <c r="B107" s="4">
        <v>45711</v>
      </c>
      <c r="C107" s="2" t="s">
        <v>246</v>
      </c>
      <c r="D107" s="2" t="s">
        <v>247</v>
      </c>
      <c r="E107" s="2" t="s">
        <v>80</v>
      </c>
      <c r="F107" s="2" t="s">
        <v>81</v>
      </c>
      <c r="G107" s="2" t="s">
        <v>19</v>
      </c>
      <c r="H107" s="21">
        <v>1</v>
      </c>
      <c r="I107" s="21">
        <v>699.99</v>
      </c>
      <c r="J107" s="2" t="s">
        <v>20</v>
      </c>
      <c r="K107" s="2" t="s">
        <v>40</v>
      </c>
      <c r="L107" s="2" t="s">
        <v>27</v>
      </c>
      <c r="M107" s="4">
        <v>44583</v>
      </c>
      <c r="N107" s="5">
        <f t="shared" si="9"/>
        <v>699.99</v>
      </c>
      <c r="O107" s="3">
        <f t="shared" ca="1" si="5"/>
        <v>46143</v>
      </c>
      <c r="P107" s="8">
        <f t="shared" ca="1" si="6"/>
        <v>46143.95781284722</v>
      </c>
      <c r="Q107">
        <f t="shared" si="7"/>
        <v>1128</v>
      </c>
      <c r="R107" s="3">
        <f t="shared" si="8"/>
        <v>45716</v>
      </c>
    </row>
    <row r="108" spans="1:18" ht="29.4" thickBot="1" x14ac:dyDescent="0.35">
      <c r="A108" s="2" t="s">
        <v>169</v>
      </c>
      <c r="B108" s="4">
        <v>45460</v>
      </c>
      <c r="C108" s="2" t="s">
        <v>141</v>
      </c>
      <c r="D108" s="2" t="s">
        <v>142</v>
      </c>
      <c r="E108" s="2" t="s">
        <v>105</v>
      </c>
      <c r="F108" s="2" t="s">
        <v>106</v>
      </c>
      <c r="G108" s="2" t="s">
        <v>46</v>
      </c>
      <c r="H108" s="21">
        <v>2</v>
      </c>
      <c r="I108" s="21">
        <v>299.99</v>
      </c>
      <c r="J108" s="2" t="s">
        <v>57</v>
      </c>
      <c r="K108" s="2" t="s">
        <v>63</v>
      </c>
      <c r="L108" s="2" t="s">
        <v>36</v>
      </c>
      <c r="M108" s="4">
        <v>45253</v>
      </c>
      <c r="N108" s="5">
        <f t="shared" si="9"/>
        <v>599.98</v>
      </c>
      <c r="O108" s="3">
        <f t="shared" ca="1" si="5"/>
        <v>46143</v>
      </c>
      <c r="P108" s="8">
        <f t="shared" ca="1" si="6"/>
        <v>46143.95781284722</v>
      </c>
      <c r="Q108">
        <f t="shared" si="7"/>
        <v>207</v>
      </c>
      <c r="R108" s="3">
        <f t="shared" si="8"/>
        <v>45473</v>
      </c>
    </row>
    <row r="109" spans="1:18" ht="29.4" thickBot="1" x14ac:dyDescent="0.35">
      <c r="A109" s="2" t="s">
        <v>257</v>
      </c>
      <c r="B109" s="4">
        <v>45563</v>
      </c>
      <c r="C109" s="2" t="s">
        <v>99</v>
      </c>
      <c r="D109" s="2" t="s">
        <v>100</v>
      </c>
      <c r="E109" s="2" t="s">
        <v>105</v>
      </c>
      <c r="F109" s="2" t="s">
        <v>106</v>
      </c>
      <c r="G109" s="2" t="s">
        <v>46</v>
      </c>
      <c r="H109" s="21">
        <v>2</v>
      </c>
      <c r="I109" s="21">
        <v>299.99</v>
      </c>
      <c r="J109" s="2" t="s">
        <v>57</v>
      </c>
      <c r="K109" s="2" t="s">
        <v>21</v>
      </c>
      <c r="L109" s="2" t="s">
        <v>22</v>
      </c>
      <c r="M109" s="4">
        <v>44569</v>
      </c>
      <c r="N109" s="5">
        <f t="shared" si="9"/>
        <v>599.98</v>
      </c>
      <c r="O109" s="3">
        <f t="shared" ca="1" si="5"/>
        <v>46143</v>
      </c>
      <c r="P109" s="8">
        <f t="shared" ca="1" si="6"/>
        <v>46143.95781284722</v>
      </c>
      <c r="Q109">
        <f t="shared" si="7"/>
        <v>994</v>
      </c>
      <c r="R109" s="3">
        <f t="shared" si="8"/>
        <v>45565</v>
      </c>
    </row>
    <row r="110" spans="1:18" ht="29.4" thickBot="1" x14ac:dyDescent="0.35">
      <c r="A110" s="2" t="s">
        <v>310</v>
      </c>
      <c r="B110" s="4">
        <v>45641</v>
      </c>
      <c r="C110" s="2" t="s">
        <v>138</v>
      </c>
      <c r="D110" s="2" t="s">
        <v>139</v>
      </c>
      <c r="E110" s="2" t="s">
        <v>105</v>
      </c>
      <c r="F110" s="2" t="s">
        <v>106</v>
      </c>
      <c r="G110" s="2" t="s">
        <v>46</v>
      </c>
      <c r="H110" s="21">
        <v>2</v>
      </c>
      <c r="I110" s="21">
        <v>299.99</v>
      </c>
      <c r="J110" s="2" t="s">
        <v>20</v>
      </c>
      <c r="K110" s="2" t="s">
        <v>63</v>
      </c>
      <c r="L110" s="2" t="s">
        <v>27</v>
      </c>
      <c r="M110" s="4">
        <v>44724</v>
      </c>
      <c r="N110" s="5">
        <f t="shared" si="9"/>
        <v>599.98</v>
      </c>
      <c r="O110" s="3">
        <f t="shared" ca="1" si="5"/>
        <v>46143</v>
      </c>
      <c r="P110" s="8">
        <f t="shared" ca="1" si="6"/>
        <v>46143.95781284722</v>
      </c>
      <c r="Q110">
        <f t="shared" si="7"/>
        <v>917</v>
      </c>
      <c r="R110" s="3">
        <f t="shared" si="8"/>
        <v>45657</v>
      </c>
    </row>
    <row r="111" spans="1:18" ht="29.4" thickBot="1" x14ac:dyDescent="0.35">
      <c r="A111" s="2" t="s">
        <v>317</v>
      </c>
      <c r="B111" s="4">
        <v>45649</v>
      </c>
      <c r="C111" s="2" t="s">
        <v>29</v>
      </c>
      <c r="D111" s="2" t="s">
        <v>30</v>
      </c>
      <c r="E111" s="2" t="s">
        <v>105</v>
      </c>
      <c r="F111" s="2" t="s">
        <v>106</v>
      </c>
      <c r="G111" s="2" t="s">
        <v>46</v>
      </c>
      <c r="H111" s="21">
        <v>2</v>
      </c>
      <c r="I111" s="21">
        <v>299.99</v>
      </c>
      <c r="J111" s="2" t="s">
        <v>34</v>
      </c>
      <c r="K111" s="2" t="s">
        <v>35</v>
      </c>
      <c r="L111" s="2" t="s">
        <v>22</v>
      </c>
      <c r="M111" s="4">
        <v>44721</v>
      </c>
      <c r="N111" s="5">
        <f t="shared" si="9"/>
        <v>599.98</v>
      </c>
      <c r="O111" s="3">
        <f t="shared" ca="1" si="5"/>
        <v>46143</v>
      </c>
      <c r="P111" s="8">
        <f t="shared" ca="1" si="6"/>
        <v>46143.95781284722</v>
      </c>
      <c r="Q111">
        <f t="shared" si="7"/>
        <v>928</v>
      </c>
      <c r="R111" s="3">
        <f t="shared" si="8"/>
        <v>45657</v>
      </c>
    </row>
    <row r="112" spans="1:18" ht="29.4" thickBot="1" x14ac:dyDescent="0.35">
      <c r="A112" s="2" t="s">
        <v>318</v>
      </c>
      <c r="B112" s="4">
        <v>45654</v>
      </c>
      <c r="C112" s="2" t="s">
        <v>42</v>
      </c>
      <c r="D112" s="2" t="s">
        <v>43</v>
      </c>
      <c r="E112" s="2" t="s">
        <v>105</v>
      </c>
      <c r="F112" s="2" t="s">
        <v>106</v>
      </c>
      <c r="G112" s="2" t="s">
        <v>46</v>
      </c>
      <c r="H112" s="21">
        <v>2</v>
      </c>
      <c r="I112" s="21">
        <v>299.99</v>
      </c>
      <c r="J112" s="2" t="s">
        <v>20</v>
      </c>
      <c r="K112" s="2" t="s">
        <v>50</v>
      </c>
      <c r="L112" s="2" t="s">
        <v>22</v>
      </c>
      <c r="M112" s="4">
        <v>44771</v>
      </c>
      <c r="N112" s="5">
        <f t="shared" si="9"/>
        <v>599.98</v>
      </c>
      <c r="O112" s="3">
        <f t="shared" ca="1" si="5"/>
        <v>46143</v>
      </c>
      <c r="P112" s="8">
        <f t="shared" ca="1" si="6"/>
        <v>46143.95781284722</v>
      </c>
      <c r="Q112">
        <f t="shared" si="7"/>
        <v>883</v>
      </c>
      <c r="R112" s="3">
        <f t="shared" si="8"/>
        <v>45657</v>
      </c>
    </row>
    <row r="113" spans="1:18" ht="29.4" thickBot="1" x14ac:dyDescent="0.35">
      <c r="A113" s="2" t="s">
        <v>370</v>
      </c>
      <c r="B113" s="4">
        <v>45715</v>
      </c>
      <c r="C113" s="2" t="s">
        <v>93</v>
      </c>
      <c r="D113" s="2" t="s">
        <v>94</v>
      </c>
      <c r="E113" s="2" t="s">
        <v>105</v>
      </c>
      <c r="F113" s="2" t="s">
        <v>106</v>
      </c>
      <c r="G113" s="2" t="s">
        <v>46</v>
      </c>
      <c r="H113" s="21">
        <v>2</v>
      </c>
      <c r="I113" s="21">
        <v>299.99</v>
      </c>
      <c r="J113" s="2" t="s">
        <v>34</v>
      </c>
      <c r="K113" s="2" t="s">
        <v>35</v>
      </c>
      <c r="L113" s="2" t="s">
        <v>22</v>
      </c>
      <c r="M113" s="4">
        <v>44576</v>
      </c>
      <c r="N113" s="5">
        <f t="shared" si="9"/>
        <v>599.98</v>
      </c>
      <c r="O113" s="3">
        <f t="shared" ca="1" si="5"/>
        <v>46143</v>
      </c>
      <c r="P113" s="8">
        <f t="shared" ca="1" si="6"/>
        <v>46143.95781284722</v>
      </c>
      <c r="Q113">
        <f t="shared" si="7"/>
        <v>1139</v>
      </c>
      <c r="R113" s="3">
        <f t="shared" si="8"/>
        <v>45716</v>
      </c>
    </row>
    <row r="114" spans="1:18" ht="29.4" thickBot="1" x14ac:dyDescent="0.35">
      <c r="A114" s="2" t="s">
        <v>137</v>
      </c>
      <c r="B114" s="4">
        <v>45438</v>
      </c>
      <c r="C114" s="2" t="s">
        <v>138</v>
      </c>
      <c r="D114" s="2" t="s">
        <v>139</v>
      </c>
      <c r="E114" s="2" t="s">
        <v>126</v>
      </c>
      <c r="F114" s="2" t="s">
        <v>127</v>
      </c>
      <c r="G114" s="2" t="s">
        <v>46</v>
      </c>
      <c r="H114" s="21">
        <v>3</v>
      </c>
      <c r="I114" s="21">
        <v>199.99</v>
      </c>
      <c r="J114" s="2" t="s">
        <v>26</v>
      </c>
      <c r="K114" s="2" t="s">
        <v>40</v>
      </c>
      <c r="L114" s="2" t="s">
        <v>27</v>
      </c>
      <c r="M114" s="4">
        <v>45292</v>
      </c>
      <c r="N114" s="5">
        <f t="shared" si="9"/>
        <v>599.97</v>
      </c>
      <c r="O114" s="3">
        <f t="shared" ca="1" si="5"/>
        <v>46143</v>
      </c>
      <c r="P114" s="8">
        <f t="shared" ca="1" si="6"/>
        <v>46143.95781284722</v>
      </c>
      <c r="Q114">
        <f t="shared" si="7"/>
        <v>146</v>
      </c>
      <c r="R114" s="3">
        <f t="shared" si="8"/>
        <v>45443</v>
      </c>
    </row>
    <row r="115" spans="1:18" ht="29.4" thickBot="1" x14ac:dyDescent="0.35">
      <c r="A115" s="2" t="s">
        <v>199</v>
      </c>
      <c r="B115" s="4">
        <v>45491</v>
      </c>
      <c r="C115" s="2" t="s">
        <v>65</v>
      </c>
      <c r="D115" s="2" t="s">
        <v>66</v>
      </c>
      <c r="E115" s="2" t="s">
        <v>126</v>
      </c>
      <c r="F115" s="2" t="s">
        <v>127</v>
      </c>
      <c r="G115" s="2" t="s">
        <v>46</v>
      </c>
      <c r="H115" s="21">
        <v>3</v>
      </c>
      <c r="I115" s="21">
        <v>199.99</v>
      </c>
      <c r="J115" s="2" t="s">
        <v>20</v>
      </c>
      <c r="K115" s="2" t="s">
        <v>40</v>
      </c>
      <c r="L115" s="2" t="s">
        <v>27</v>
      </c>
      <c r="M115" s="4">
        <v>45254</v>
      </c>
      <c r="N115" s="5">
        <f t="shared" si="9"/>
        <v>599.97</v>
      </c>
      <c r="O115" s="3">
        <f t="shared" ca="1" si="5"/>
        <v>46143</v>
      </c>
      <c r="P115" s="8">
        <f t="shared" ca="1" si="6"/>
        <v>46143.95781284722</v>
      </c>
      <c r="Q115">
        <f t="shared" si="7"/>
        <v>237</v>
      </c>
      <c r="R115" s="3">
        <f t="shared" si="8"/>
        <v>45504</v>
      </c>
    </row>
    <row r="116" spans="1:18" ht="29.4" thickBot="1" x14ac:dyDescent="0.35">
      <c r="A116" s="2" t="s">
        <v>356</v>
      </c>
      <c r="B116" s="4">
        <v>45704</v>
      </c>
      <c r="C116" s="2" t="s">
        <v>29</v>
      </c>
      <c r="D116" s="2" t="s">
        <v>30</v>
      </c>
      <c r="E116" s="2" t="s">
        <v>126</v>
      </c>
      <c r="F116" s="2" t="s">
        <v>127</v>
      </c>
      <c r="G116" s="2" t="s">
        <v>46</v>
      </c>
      <c r="H116" s="21">
        <v>3</v>
      </c>
      <c r="I116" s="21">
        <v>199.99</v>
      </c>
      <c r="J116" s="2" t="s">
        <v>20</v>
      </c>
      <c r="K116" s="2" t="s">
        <v>21</v>
      </c>
      <c r="L116" s="2" t="s">
        <v>22</v>
      </c>
      <c r="M116" s="4">
        <v>44735</v>
      </c>
      <c r="N116" s="5">
        <f t="shared" si="9"/>
        <v>599.97</v>
      </c>
      <c r="O116" s="3">
        <f t="shared" ca="1" si="5"/>
        <v>46143</v>
      </c>
      <c r="P116" s="8">
        <f t="shared" ca="1" si="6"/>
        <v>46143.95781284722</v>
      </c>
      <c r="Q116">
        <f t="shared" si="7"/>
        <v>969</v>
      </c>
      <c r="R116" s="3">
        <f t="shared" si="8"/>
        <v>45716</v>
      </c>
    </row>
    <row r="117" spans="1:18" ht="29.4" thickBot="1" x14ac:dyDescent="0.35">
      <c r="A117" s="2" t="s">
        <v>362</v>
      </c>
      <c r="B117" s="4">
        <v>45708</v>
      </c>
      <c r="C117" s="2" t="s">
        <v>192</v>
      </c>
      <c r="D117" s="2" t="s">
        <v>193</v>
      </c>
      <c r="E117" s="2" t="s">
        <v>126</v>
      </c>
      <c r="F117" s="2" t="s">
        <v>127</v>
      </c>
      <c r="G117" s="2" t="s">
        <v>46</v>
      </c>
      <c r="H117" s="21">
        <v>3</v>
      </c>
      <c r="I117" s="21">
        <v>199.99</v>
      </c>
      <c r="J117" s="2" t="s">
        <v>20</v>
      </c>
      <c r="K117" s="2" t="s">
        <v>50</v>
      </c>
      <c r="L117" s="2" t="s">
        <v>27</v>
      </c>
      <c r="M117" s="4">
        <v>44823</v>
      </c>
      <c r="N117" s="5">
        <f t="shared" si="9"/>
        <v>599.97</v>
      </c>
      <c r="O117" s="3">
        <f t="shared" ca="1" si="5"/>
        <v>46143</v>
      </c>
      <c r="P117" s="8">
        <f t="shared" ca="1" si="6"/>
        <v>46143.95781284722</v>
      </c>
      <c r="Q117">
        <f t="shared" si="7"/>
        <v>885</v>
      </c>
      <c r="R117" s="3">
        <f t="shared" si="8"/>
        <v>45716</v>
      </c>
    </row>
    <row r="118" spans="1:18" ht="29.4" thickBot="1" x14ac:dyDescent="0.35">
      <c r="A118" s="2" t="s">
        <v>85</v>
      </c>
      <c r="B118" s="4">
        <v>45410</v>
      </c>
      <c r="C118" s="2" t="s">
        <v>86</v>
      </c>
      <c r="D118" s="2" t="s">
        <v>87</v>
      </c>
      <c r="E118" s="2" t="s">
        <v>44</v>
      </c>
      <c r="F118" s="2" t="s">
        <v>45</v>
      </c>
      <c r="G118" s="2" t="s">
        <v>46</v>
      </c>
      <c r="H118" s="21">
        <v>4</v>
      </c>
      <c r="I118" s="21">
        <v>149.99</v>
      </c>
      <c r="J118" s="2" t="s">
        <v>57</v>
      </c>
      <c r="K118" s="2" t="s">
        <v>40</v>
      </c>
      <c r="L118" s="2" t="s">
        <v>27</v>
      </c>
      <c r="M118" s="4">
        <v>45374</v>
      </c>
      <c r="N118" s="5">
        <f t="shared" si="9"/>
        <v>599.96</v>
      </c>
      <c r="O118" s="3">
        <f t="shared" ca="1" si="5"/>
        <v>46143</v>
      </c>
      <c r="P118" s="8">
        <f t="shared" ca="1" si="6"/>
        <v>46143.95781284722</v>
      </c>
      <c r="Q118">
        <f t="shared" si="7"/>
        <v>36</v>
      </c>
      <c r="R118" s="3">
        <f t="shared" si="8"/>
        <v>45412</v>
      </c>
    </row>
    <row r="119" spans="1:18" ht="29.4" thickBot="1" x14ac:dyDescent="0.35">
      <c r="A119" s="2" t="s">
        <v>216</v>
      </c>
      <c r="B119" s="4">
        <v>45517</v>
      </c>
      <c r="C119" s="2" t="s">
        <v>182</v>
      </c>
      <c r="D119" s="2" t="s">
        <v>183</v>
      </c>
      <c r="E119" s="2" t="s">
        <v>52</v>
      </c>
      <c r="F119" s="2" t="s">
        <v>53</v>
      </c>
      <c r="G119" s="2" t="s">
        <v>19</v>
      </c>
      <c r="H119" s="21">
        <v>4</v>
      </c>
      <c r="I119" s="21">
        <v>149.99</v>
      </c>
      <c r="J119" s="2" t="s">
        <v>57</v>
      </c>
      <c r="K119" s="2" t="s">
        <v>35</v>
      </c>
      <c r="L119" s="2" t="s">
        <v>27</v>
      </c>
      <c r="M119" s="4">
        <v>44820</v>
      </c>
      <c r="N119" s="5">
        <f t="shared" si="9"/>
        <v>599.96</v>
      </c>
      <c r="O119" s="3">
        <f t="shared" ca="1" si="5"/>
        <v>46143</v>
      </c>
      <c r="P119" s="8">
        <f t="shared" ca="1" si="6"/>
        <v>46143.95781284722</v>
      </c>
      <c r="Q119">
        <f t="shared" si="7"/>
        <v>697</v>
      </c>
      <c r="R119" s="3">
        <f t="shared" si="8"/>
        <v>45535</v>
      </c>
    </row>
    <row r="120" spans="1:18" ht="29.4" thickBot="1" x14ac:dyDescent="0.35">
      <c r="A120" s="2" t="s">
        <v>245</v>
      </c>
      <c r="B120" s="4">
        <v>45550</v>
      </c>
      <c r="C120" s="2" t="s">
        <v>246</v>
      </c>
      <c r="D120" s="2" t="s">
        <v>247</v>
      </c>
      <c r="E120" s="2" t="s">
        <v>52</v>
      </c>
      <c r="F120" s="2" t="s">
        <v>53</v>
      </c>
      <c r="G120" s="2" t="s">
        <v>19</v>
      </c>
      <c r="H120" s="21">
        <v>4</v>
      </c>
      <c r="I120" s="21">
        <v>149.99</v>
      </c>
      <c r="J120" s="2" t="s">
        <v>20</v>
      </c>
      <c r="K120" s="2" t="s">
        <v>40</v>
      </c>
      <c r="L120" s="2" t="s">
        <v>22</v>
      </c>
      <c r="M120" s="4">
        <v>44909</v>
      </c>
      <c r="N120" s="5">
        <f t="shared" si="9"/>
        <v>599.96</v>
      </c>
      <c r="O120" s="3">
        <f t="shared" ca="1" si="5"/>
        <v>46143</v>
      </c>
      <c r="P120" s="8">
        <f t="shared" ca="1" si="6"/>
        <v>46143.95781284722</v>
      </c>
      <c r="Q120">
        <f t="shared" si="7"/>
        <v>641</v>
      </c>
      <c r="R120" s="3">
        <f t="shared" si="8"/>
        <v>45565</v>
      </c>
    </row>
    <row r="121" spans="1:18" ht="29.4" thickBot="1" x14ac:dyDescent="0.35">
      <c r="A121" s="2" t="s">
        <v>263</v>
      </c>
      <c r="B121" s="4">
        <v>45572</v>
      </c>
      <c r="C121" s="2" t="s">
        <v>234</v>
      </c>
      <c r="D121" s="2" t="s">
        <v>235</v>
      </c>
      <c r="E121" s="2" t="s">
        <v>52</v>
      </c>
      <c r="F121" s="2" t="s">
        <v>53</v>
      </c>
      <c r="G121" s="2" t="s">
        <v>19</v>
      </c>
      <c r="H121" s="21">
        <v>4</v>
      </c>
      <c r="I121" s="21">
        <v>149.99</v>
      </c>
      <c r="J121" s="2" t="s">
        <v>26</v>
      </c>
      <c r="K121" s="2" t="s">
        <v>40</v>
      </c>
      <c r="L121" s="2" t="s">
        <v>27</v>
      </c>
      <c r="M121" s="4">
        <v>45076</v>
      </c>
      <c r="N121" s="5">
        <f t="shared" si="9"/>
        <v>599.96</v>
      </c>
      <c r="O121" s="3">
        <f t="shared" ca="1" si="5"/>
        <v>46143</v>
      </c>
      <c r="P121" s="8">
        <f t="shared" ca="1" si="6"/>
        <v>46143.95781284722</v>
      </c>
      <c r="Q121">
        <f t="shared" si="7"/>
        <v>496</v>
      </c>
      <c r="R121" s="3">
        <f t="shared" si="8"/>
        <v>45596</v>
      </c>
    </row>
    <row r="122" spans="1:18" ht="29.4" thickBot="1" x14ac:dyDescent="0.35">
      <c r="A122" s="2" t="s">
        <v>332</v>
      </c>
      <c r="B122" s="4">
        <v>45668</v>
      </c>
      <c r="C122" s="2" t="s">
        <v>138</v>
      </c>
      <c r="D122" s="2" t="s">
        <v>139</v>
      </c>
      <c r="E122" s="2" t="s">
        <v>52</v>
      </c>
      <c r="F122" s="2" t="s">
        <v>53</v>
      </c>
      <c r="G122" s="2" t="s">
        <v>19</v>
      </c>
      <c r="H122" s="21">
        <v>4</v>
      </c>
      <c r="I122" s="21">
        <v>149.99</v>
      </c>
      <c r="J122" s="2" t="s">
        <v>57</v>
      </c>
      <c r="K122" s="2" t="s">
        <v>63</v>
      </c>
      <c r="L122" s="2" t="s">
        <v>36</v>
      </c>
      <c r="M122" s="4">
        <v>44536</v>
      </c>
      <c r="N122" s="5">
        <f t="shared" si="9"/>
        <v>599.96</v>
      </c>
      <c r="O122" s="3">
        <f t="shared" ca="1" si="5"/>
        <v>46143</v>
      </c>
      <c r="P122" s="8">
        <f t="shared" ca="1" si="6"/>
        <v>46143.95781284722</v>
      </c>
      <c r="Q122">
        <f t="shared" si="7"/>
        <v>1132</v>
      </c>
      <c r="R122" s="3">
        <f t="shared" si="8"/>
        <v>45688</v>
      </c>
    </row>
    <row r="123" spans="1:18" ht="29.4" thickBot="1" x14ac:dyDescent="0.35">
      <c r="A123" s="2" t="s">
        <v>366</v>
      </c>
      <c r="B123" s="4">
        <v>45711</v>
      </c>
      <c r="C123" s="2" t="s">
        <v>325</v>
      </c>
      <c r="D123" s="2" t="s">
        <v>326</v>
      </c>
      <c r="E123" s="2" t="s">
        <v>44</v>
      </c>
      <c r="F123" s="2" t="s">
        <v>45</v>
      </c>
      <c r="G123" s="2" t="s">
        <v>46</v>
      </c>
      <c r="H123" s="21">
        <v>4</v>
      </c>
      <c r="I123" s="21">
        <v>149.99</v>
      </c>
      <c r="J123" s="2" t="s">
        <v>34</v>
      </c>
      <c r="K123" s="2" t="s">
        <v>40</v>
      </c>
      <c r="L123" s="2" t="s">
        <v>27</v>
      </c>
      <c r="M123" s="4">
        <v>44412</v>
      </c>
      <c r="N123" s="5">
        <f t="shared" si="9"/>
        <v>599.96</v>
      </c>
      <c r="O123" s="3">
        <f t="shared" ca="1" si="5"/>
        <v>46143</v>
      </c>
      <c r="P123" s="8">
        <f t="shared" ca="1" si="6"/>
        <v>46143.95781284722</v>
      </c>
      <c r="Q123">
        <f t="shared" si="7"/>
        <v>1299</v>
      </c>
      <c r="R123" s="3">
        <f t="shared" si="8"/>
        <v>45716</v>
      </c>
    </row>
    <row r="124" spans="1:18" ht="29.4" thickBot="1" x14ac:dyDescent="0.35">
      <c r="A124" s="2" t="s">
        <v>378</v>
      </c>
      <c r="B124" s="4">
        <v>45724</v>
      </c>
      <c r="C124" s="2" t="s">
        <v>55</v>
      </c>
      <c r="D124" s="2" t="s">
        <v>56</v>
      </c>
      <c r="E124" s="2" t="s">
        <v>44</v>
      </c>
      <c r="F124" s="2" t="s">
        <v>45</v>
      </c>
      <c r="G124" s="2" t="s">
        <v>46</v>
      </c>
      <c r="H124" s="21">
        <v>4</v>
      </c>
      <c r="I124" s="21">
        <v>149.99</v>
      </c>
      <c r="J124" s="2" t="s">
        <v>20</v>
      </c>
      <c r="K124" s="2" t="s">
        <v>21</v>
      </c>
      <c r="L124" s="2" t="s">
        <v>36</v>
      </c>
      <c r="M124" s="4">
        <v>45263</v>
      </c>
      <c r="N124" s="5">
        <f t="shared" si="9"/>
        <v>599.96</v>
      </c>
      <c r="O124" s="3">
        <f t="shared" ca="1" si="5"/>
        <v>46143</v>
      </c>
      <c r="P124" s="8">
        <f t="shared" ca="1" si="6"/>
        <v>46143.95781284722</v>
      </c>
      <c r="Q124">
        <f t="shared" si="7"/>
        <v>461</v>
      </c>
      <c r="R124" s="3">
        <f t="shared" si="8"/>
        <v>45747</v>
      </c>
    </row>
    <row r="125" spans="1:18" ht="29.4" thickBot="1" x14ac:dyDescent="0.35">
      <c r="A125" s="2" t="s">
        <v>385</v>
      </c>
      <c r="B125" s="4">
        <v>45740</v>
      </c>
      <c r="C125" s="2" t="s">
        <v>386</v>
      </c>
      <c r="D125" s="2" t="s">
        <v>387</v>
      </c>
      <c r="E125" s="2" t="s">
        <v>44</v>
      </c>
      <c r="F125" s="2" t="s">
        <v>45</v>
      </c>
      <c r="G125" s="2" t="s">
        <v>46</v>
      </c>
      <c r="H125" s="21">
        <v>4</v>
      </c>
      <c r="I125" s="21">
        <v>149.99</v>
      </c>
      <c r="J125" s="2" t="s">
        <v>34</v>
      </c>
      <c r="K125" s="2" t="s">
        <v>50</v>
      </c>
      <c r="L125" s="2" t="s">
        <v>36</v>
      </c>
      <c r="M125" s="4">
        <v>44560</v>
      </c>
      <c r="N125" s="5">
        <f t="shared" si="9"/>
        <v>599.96</v>
      </c>
      <c r="O125" s="3">
        <f t="shared" ca="1" si="5"/>
        <v>46143</v>
      </c>
      <c r="P125" s="8">
        <f t="shared" ca="1" si="6"/>
        <v>46143.95781284722</v>
      </c>
      <c r="Q125">
        <f t="shared" si="7"/>
        <v>1180</v>
      </c>
      <c r="R125" s="3">
        <f t="shared" si="8"/>
        <v>45747</v>
      </c>
    </row>
    <row r="126" spans="1:18" ht="29.4" thickBot="1" x14ac:dyDescent="0.35">
      <c r="A126" s="2" t="s">
        <v>204</v>
      </c>
      <c r="B126" s="4">
        <v>45500</v>
      </c>
      <c r="C126" s="2" t="s">
        <v>96</v>
      </c>
      <c r="D126" s="2" t="s">
        <v>97</v>
      </c>
      <c r="E126" s="2" t="s">
        <v>17</v>
      </c>
      <c r="F126" s="2" t="s">
        <v>18</v>
      </c>
      <c r="G126" s="2" t="s">
        <v>19</v>
      </c>
      <c r="H126" s="21">
        <v>2</v>
      </c>
      <c r="I126" s="21">
        <v>249.99</v>
      </c>
      <c r="J126" s="2" t="s">
        <v>20</v>
      </c>
      <c r="K126" s="2" t="s">
        <v>40</v>
      </c>
      <c r="L126" s="2" t="s">
        <v>27</v>
      </c>
      <c r="M126" s="4">
        <v>45164</v>
      </c>
      <c r="N126" s="5">
        <f t="shared" si="9"/>
        <v>499.98</v>
      </c>
      <c r="O126" s="3">
        <f t="shared" ca="1" si="5"/>
        <v>46143</v>
      </c>
      <c r="P126" s="8">
        <f t="shared" ca="1" si="6"/>
        <v>46143.95781284722</v>
      </c>
      <c r="Q126">
        <f t="shared" si="7"/>
        <v>336</v>
      </c>
      <c r="R126" s="3">
        <f t="shared" si="8"/>
        <v>45504</v>
      </c>
    </row>
    <row r="127" spans="1:18" ht="29.4" thickBot="1" x14ac:dyDescent="0.35">
      <c r="A127" s="2" t="s">
        <v>228</v>
      </c>
      <c r="B127" s="4">
        <v>45528</v>
      </c>
      <c r="C127" s="2" t="s">
        <v>144</v>
      </c>
      <c r="D127" s="2" t="s">
        <v>145</v>
      </c>
      <c r="E127" s="2" t="s">
        <v>17</v>
      </c>
      <c r="F127" s="2" t="s">
        <v>18</v>
      </c>
      <c r="G127" s="2" t="s">
        <v>19</v>
      </c>
      <c r="H127" s="21">
        <v>2</v>
      </c>
      <c r="I127" s="21">
        <v>249.99</v>
      </c>
      <c r="J127" s="2" t="s">
        <v>20</v>
      </c>
      <c r="K127" s="2" t="s">
        <v>35</v>
      </c>
      <c r="L127" s="2" t="s">
        <v>36</v>
      </c>
      <c r="M127" s="4">
        <v>44572</v>
      </c>
      <c r="N127" s="5">
        <f t="shared" si="9"/>
        <v>499.98</v>
      </c>
      <c r="O127" s="3">
        <f t="shared" ca="1" si="5"/>
        <v>46143</v>
      </c>
      <c r="P127" s="8">
        <f t="shared" ca="1" si="6"/>
        <v>46143.95781284722</v>
      </c>
      <c r="Q127">
        <f t="shared" si="7"/>
        <v>956</v>
      </c>
      <c r="R127" s="3">
        <f t="shared" si="8"/>
        <v>45535</v>
      </c>
    </row>
    <row r="128" spans="1:18" ht="29.4" thickBot="1" x14ac:dyDescent="0.35">
      <c r="A128" s="2" t="s">
        <v>248</v>
      </c>
      <c r="B128" s="4">
        <v>45551</v>
      </c>
      <c r="C128" s="2" t="s">
        <v>65</v>
      </c>
      <c r="D128" s="2" t="s">
        <v>66</v>
      </c>
      <c r="E128" s="2" t="s">
        <v>17</v>
      </c>
      <c r="F128" s="2" t="s">
        <v>18</v>
      </c>
      <c r="G128" s="2" t="s">
        <v>19</v>
      </c>
      <c r="H128" s="21">
        <v>2</v>
      </c>
      <c r="I128" s="21">
        <v>249.99</v>
      </c>
      <c r="J128" s="2" t="s">
        <v>34</v>
      </c>
      <c r="K128" s="2" t="s">
        <v>35</v>
      </c>
      <c r="L128" s="2" t="s">
        <v>22</v>
      </c>
      <c r="M128" s="4">
        <v>44993</v>
      </c>
      <c r="N128" s="5">
        <f t="shared" si="9"/>
        <v>499.98</v>
      </c>
      <c r="O128" s="3">
        <f t="shared" ca="1" si="5"/>
        <v>46143</v>
      </c>
      <c r="P128" s="8">
        <f t="shared" ca="1" si="6"/>
        <v>46143.95781284722</v>
      </c>
      <c r="Q128">
        <f t="shared" si="7"/>
        <v>558</v>
      </c>
      <c r="R128" s="3">
        <f t="shared" si="8"/>
        <v>45565</v>
      </c>
    </row>
    <row r="129" spans="1:18" ht="29.4" thickBot="1" x14ac:dyDescent="0.35">
      <c r="A129" s="2" t="s">
        <v>302</v>
      </c>
      <c r="B129" s="4">
        <v>45635</v>
      </c>
      <c r="C129" s="2" t="s">
        <v>108</v>
      </c>
      <c r="D129" s="2" t="s">
        <v>109</v>
      </c>
      <c r="E129" s="2" t="s">
        <v>17</v>
      </c>
      <c r="F129" s="2" t="s">
        <v>18</v>
      </c>
      <c r="G129" s="2" t="s">
        <v>19</v>
      </c>
      <c r="H129" s="21">
        <v>2</v>
      </c>
      <c r="I129" s="21">
        <v>249.99</v>
      </c>
      <c r="J129" s="2" t="s">
        <v>26</v>
      </c>
      <c r="K129" s="2" t="s">
        <v>21</v>
      </c>
      <c r="L129" s="2" t="s">
        <v>27</v>
      </c>
      <c r="M129" s="4">
        <v>44396</v>
      </c>
      <c r="N129" s="5">
        <f t="shared" si="9"/>
        <v>499.98</v>
      </c>
      <c r="O129" s="3">
        <f t="shared" ca="1" si="5"/>
        <v>46143</v>
      </c>
      <c r="P129" s="8">
        <f t="shared" ca="1" si="6"/>
        <v>46143.95781284722</v>
      </c>
      <c r="Q129">
        <f t="shared" si="7"/>
        <v>1239</v>
      </c>
      <c r="R129" s="3">
        <f t="shared" si="8"/>
        <v>45657</v>
      </c>
    </row>
    <row r="130" spans="1:18" ht="43.8" thickBot="1" x14ac:dyDescent="0.35">
      <c r="A130" s="2" t="s">
        <v>71</v>
      </c>
      <c r="B130" s="4">
        <v>45408</v>
      </c>
      <c r="C130" s="2" t="s">
        <v>72</v>
      </c>
      <c r="D130" s="2" t="s">
        <v>73</v>
      </c>
      <c r="E130" s="2" t="s">
        <v>44</v>
      </c>
      <c r="F130" s="2" t="s">
        <v>45</v>
      </c>
      <c r="G130" s="2" t="s">
        <v>46</v>
      </c>
      <c r="H130" s="21">
        <v>3</v>
      </c>
      <c r="I130" s="21">
        <v>149.99</v>
      </c>
      <c r="J130" s="2" t="s">
        <v>20</v>
      </c>
      <c r="K130" s="2" t="s">
        <v>40</v>
      </c>
      <c r="L130" s="2" t="s">
        <v>27</v>
      </c>
      <c r="M130" s="4">
        <v>44806</v>
      </c>
      <c r="N130" s="5">
        <f t="shared" si="9"/>
        <v>449.97</v>
      </c>
      <c r="O130" s="3">
        <f t="shared" ref="O130:O193" ca="1" si="10">TODAY()</f>
        <v>46143</v>
      </c>
      <c r="P130" s="8">
        <f t="shared" ref="P130:P193" ca="1" si="11">NOW()</f>
        <v>46143.95781284722</v>
      </c>
      <c r="Q130">
        <f t="shared" ref="Q130:Q193" si="12">DATEDIF(M130,B130,"D")</f>
        <v>602</v>
      </c>
      <c r="R130" s="3">
        <f t="shared" ref="R130:R193" si="13">EOMONTH(B130,0)</f>
        <v>45412</v>
      </c>
    </row>
    <row r="131" spans="1:18" ht="29.4" thickBot="1" x14ac:dyDescent="0.35">
      <c r="A131" s="2" t="s">
        <v>131</v>
      </c>
      <c r="B131" s="4">
        <v>45430</v>
      </c>
      <c r="C131" s="2" t="s">
        <v>132</v>
      </c>
      <c r="D131" s="2" t="s">
        <v>133</v>
      </c>
      <c r="E131" s="2" t="s">
        <v>44</v>
      </c>
      <c r="F131" s="2" t="s">
        <v>45</v>
      </c>
      <c r="G131" s="2" t="s">
        <v>46</v>
      </c>
      <c r="H131" s="21">
        <v>3</v>
      </c>
      <c r="I131" s="21">
        <v>149.99</v>
      </c>
      <c r="J131" s="2" t="s">
        <v>26</v>
      </c>
      <c r="K131" s="2" t="s">
        <v>50</v>
      </c>
      <c r="L131" s="2" t="s">
        <v>27</v>
      </c>
      <c r="M131" s="4">
        <v>45068</v>
      </c>
      <c r="N131" s="5">
        <f t="shared" ref="N131:N194" si="14">I131*H131</f>
        <v>449.97</v>
      </c>
      <c r="O131" s="3">
        <f t="shared" ca="1" si="10"/>
        <v>46143</v>
      </c>
      <c r="P131" s="8">
        <f t="shared" ca="1" si="11"/>
        <v>46143.95781284722</v>
      </c>
      <c r="Q131">
        <f t="shared" si="12"/>
        <v>362</v>
      </c>
      <c r="R131" s="3">
        <f t="shared" si="13"/>
        <v>45443</v>
      </c>
    </row>
    <row r="132" spans="1:18" ht="43.8" thickBot="1" x14ac:dyDescent="0.35">
      <c r="A132" s="2" t="s">
        <v>198</v>
      </c>
      <c r="B132" s="4">
        <v>45490</v>
      </c>
      <c r="C132" s="2" t="s">
        <v>72</v>
      </c>
      <c r="D132" s="2" t="s">
        <v>73</v>
      </c>
      <c r="E132" s="2" t="s">
        <v>44</v>
      </c>
      <c r="F132" s="2" t="s">
        <v>45</v>
      </c>
      <c r="G132" s="2" t="s">
        <v>46</v>
      </c>
      <c r="H132" s="21">
        <v>3</v>
      </c>
      <c r="I132" s="21">
        <v>149.99</v>
      </c>
      <c r="J132" s="2" t="s">
        <v>20</v>
      </c>
      <c r="K132" s="2" t="s">
        <v>21</v>
      </c>
      <c r="L132" s="2" t="s">
        <v>27</v>
      </c>
      <c r="M132" s="4">
        <v>45199</v>
      </c>
      <c r="N132" s="5">
        <f t="shared" si="14"/>
        <v>449.97</v>
      </c>
      <c r="O132" s="3">
        <f t="shared" ca="1" si="10"/>
        <v>46143</v>
      </c>
      <c r="P132" s="8">
        <f t="shared" ca="1" si="11"/>
        <v>46143.95781284722</v>
      </c>
      <c r="Q132">
        <f t="shared" si="12"/>
        <v>291</v>
      </c>
      <c r="R132" s="3">
        <f t="shared" si="13"/>
        <v>45504</v>
      </c>
    </row>
    <row r="133" spans="1:18" ht="29.4" thickBot="1" x14ac:dyDescent="0.35">
      <c r="A133" s="2" t="s">
        <v>223</v>
      </c>
      <c r="B133" s="4">
        <v>45523</v>
      </c>
      <c r="C133" s="2" t="s">
        <v>108</v>
      </c>
      <c r="D133" s="2" t="s">
        <v>109</v>
      </c>
      <c r="E133" s="2" t="s">
        <v>52</v>
      </c>
      <c r="F133" s="2" t="s">
        <v>53</v>
      </c>
      <c r="G133" s="2" t="s">
        <v>19</v>
      </c>
      <c r="H133" s="21">
        <v>3</v>
      </c>
      <c r="I133" s="21">
        <v>149.99</v>
      </c>
      <c r="J133" s="2" t="s">
        <v>34</v>
      </c>
      <c r="K133" s="2" t="s">
        <v>63</v>
      </c>
      <c r="L133" s="2" t="s">
        <v>22</v>
      </c>
      <c r="M133" s="4">
        <v>44574</v>
      </c>
      <c r="N133" s="5">
        <f t="shared" si="14"/>
        <v>449.97</v>
      </c>
      <c r="O133" s="3">
        <f t="shared" ca="1" si="10"/>
        <v>46143</v>
      </c>
      <c r="P133" s="8">
        <f t="shared" ca="1" si="11"/>
        <v>46143.95781284722</v>
      </c>
      <c r="Q133">
        <f t="shared" si="12"/>
        <v>949</v>
      </c>
      <c r="R133" s="3">
        <f t="shared" si="13"/>
        <v>45535</v>
      </c>
    </row>
    <row r="134" spans="1:18" ht="29.4" thickBot="1" x14ac:dyDescent="0.35">
      <c r="A134" s="2" t="s">
        <v>230</v>
      </c>
      <c r="B134" s="4">
        <v>45532</v>
      </c>
      <c r="C134" s="2" t="s">
        <v>231</v>
      </c>
      <c r="D134" s="2" t="s">
        <v>232</v>
      </c>
      <c r="E134" s="2" t="s">
        <v>52</v>
      </c>
      <c r="F134" s="2" t="s">
        <v>53</v>
      </c>
      <c r="G134" s="2" t="s">
        <v>19</v>
      </c>
      <c r="H134" s="21">
        <v>3</v>
      </c>
      <c r="I134" s="21">
        <v>149.99</v>
      </c>
      <c r="J134" s="2" t="s">
        <v>20</v>
      </c>
      <c r="K134" s="2" t="s">
        <v>50</v>
      </c>
      <c r="L134" s="2" t="s">
        <v>27</v>
      </c>
      <c r="M134" s="4">
        <v>45212</v>
      </c>
      <c r="N134" s="5">
        <f t="shared" si="14"/>
        <v>449.97</v>
      </c>
      <c r="O134" s="3">
        <f t="shared" ca="1" si="10"/>
        <v>46143</v>
      </c>
      <c r="P134" s="8">
        <f t="shared" ca="1" si="11"/>
        <v>46143.95781284722</v>
      </c>
      <c r="Q134">
        <f t="shared" si="12"/>
        <v>320</v>
      </c>
      <c r="R134" s="3">
        <f t="shared" si="13"/>
        <v>45535</v>
      </c>
    </row>
    <row r="135" spans="1:18" ht="29.4" thickBot="1" x14ac:dyDescent="0.35">
      <c r="A135" s="2" t="s">
        <v>256</v>
      </c>
      <c r="B135" s="4">
        <v>45560</v>
      </c>
      <c r="C135" s="2" t="s">
        <v>112</v>
      </c>
      <c r="D135" s="2" t="s">
        <v>113</v>
      </c>
      <c r="E135" s="2" t="s">
        <v>44</v>
      </c>
      <c r="F135" s="2" t="s">
        <v>45</v>
      </c>
      <c r="G135" s="2" t="s">
        <v>46</v>
      </c>
      <c r="H135" s="21">
        <v>3</v>
      </c>
      <c r="I135" s="21">
        <v>149.99</v>
      </c>
      <c r="J135" s="2" t="s">
        <v>34</v>
      </c>
      <c r="K135" s="2" t="s">
        <v>63</v>
      </c>
      <c r="L135" s="2" t="s">
        <v>22</v>
      </c>
      <c r="M135" s="4">
        <v>44886</v>
      </c>
      <c r="N135" s="5">
        <f t="shared" si="14"/>
        <v>449.97</v>
      </c>
      <c r="O135" s="3">
        <f t="shared" ca="1" si="10"/>
        <v>46143</v>
      </c>
      <c r="P135" s="8">
        <f t="shared" ca="1" si="11"/>
        <v>46143.95781284722</v>
      </c>
      <c r="Q135">
        <f t="shared" si="12"/>
        <v>674</v>
      </c>
      <c r="R135" s="3">
        <f t="shared" si="13"/>
        <v>45565</v>
      </c>
    </row>
    <row r="136" spans="1:18" ht="29.4" thickBot="1" x14ac:dyDescent="0.35">
      <c r="A136" s="2" t="s">
        <v>265</v>
      </c>
      <c r="B136" s="4">
        <v>45573</v>
      </c>
      <c r="C136" s="2" t="s">
        <v>231</v>
      </c>
      <c r="D136" s="2" t="s">
        <v>232</v>
      </c>
      <c r="E136" s="2" t="s">
        <v>44</v>
      </c>
      <c r="F136" s="2" t="s">
        <v>45</v>
      </c>
      <c r="G136" s="2" t="s">
        <v>46</v>
      </c>
      <c r="H136" s="21">
        <v>3</v>
      </c>
      <c r="I136" s="21">
        <v>149.99</v>
      </c>
      <c r="J136" s="2" t="s">
        <v>26</v>
      </c>
      <c r="K136" s="2" t="s">
        <v>35</v>
      </c>
      <c r="L136" s="2" t="s">
        <v>36</v>
      </c>
      <c r="M136" s="4">
        <v>44940</v>
      </c>
      <c r="N136" s="5">
        <f t="shared" si="14"/>
        <v>449.97</v>
      </c>
      <c r="O136" s="3">
        <f t="shared" ca="1" si="10"/>
        <v>46143</v>
      </c>
      <c r="P136" s="8">
        <f t="shared" ca="1" si="11"/>
        <v>46143.95781284722</v>
      </c>
      <c r="Q136">
        <f t="shared" si="12"/>
        <v>633</v>
      </c>
      <c r="R136" s="3">
        <f t="shared" si="13"/>
        <v>45596</v>
      </c>
    </row>
    <row r="137" spans="1:18" ht="43.8" thickBot="1" x14ac:dyDescent="0.35">
      <c r="A137" s="2" t="s">
        <v>282</v>
      </c>
      <c r="B137" s="4">
        <v>45607</v>
      </c>
      <c r="C137" s="2" t="s">
        <v>72</v>
      </c>
      <c r="D137" s="2" t="s">
        <v>73</v>
      </c>
      <c r="E137" s="2" t="s">
        <v>52</v>
      </c>
      <c r="F137" s="2" t="s">
        <v>53</v>
      </c>
      <c r="G137" s="2" t="s">
        <v>19</v>
      </c>
      <c r="H137" s="21">
        <v>3</v>
      </c>
      <c r="I137" s="21">
        <v>149.99</v>
      </c>
      <c r="J137" s="2" t="s">
        <v>20</v>
      </c>
      <c r="K137" s="2" t="s">
        <v>40</v>
      </c>
      <c r="L137" s="2" t="s">
        <v>22</v>
      </c>
      <c r="M137" s="4">
        <v>44769</v>
      </c>
      <c r="N137" s="5">
        <f t="shared" si="14"/>
        <v>449.97</v>
      </c>
      <c r="O137" s="3">
        <f t="shared" ca="1" si="10"/>
        <v>46143</v>
      </c>
      <c r="P137" s="8">
        <f t="shared" ca="1" si="11"/>
        <v>46143.95781284722</v>
      </c>
      <c r="Q137">
        <f t="shared" si="12"/>
        <v>838</v>
      </c>
      <c r="R137" s="3">
        <f t="shared" si="13"/>
        <v>45626</v>
      </c>
    </row>
    <row r="138" spans="1:18" ht="29.4" thickBot="1" x14ac:dyDescent="0.35">
      <c r="A138" s="2" t="s">
        <v>316</v>
      </c>
      <c r="B138" s="4">
        <v>45648</v>
      </c>
      <c r="C138" s="2" t="s">
        <v>182</v>
      </c>
      <c r="D138" s="2" t="s">
        <v>183</v>
      </c>
      <c r="E138" s="2" t="s">
        <v>44</v>
      </c>
      <c r="F138" s="2" t="s">
        <v>45</v>
      </c>
      <c r="G138" s="2" t="s">
        <v>46</v>
      </c>
      <c r="H138" s="21">
        <v>3</v>
      </c>
      <c r="I138" s="21">
        <v>149.99</v>
      </c>
      <c r="J138" s="2" t="s">
        <v>57</v>
      </c>
      <c r="K138" s="2" t="s">
        <v>40</v>
      </c>
      <c r="L138" s="2" t="s">
        <v>36</v>
      </c>
      <c r="M138" s="4">
        <v>44522</v>
      </c>
      <c r="N138" s="5">
        <f t="shared" si="14"/>
        <v>449.97</v>
      </c>
      <c r="O138" s="3">
        <f t="shared" ca="1" si="10"/>
        <v>46143</v>
      </c>
      <c r="P138" s="8">
        <f t="shared" ca="1" si="11"/>
        <v>46143.95781284722</v>
      </c>
      <c r="Q138">
        <f t="shared" si="12"/>
        <v>1126</v>
      </c>
      <c r="R138" s="3">
        <f t="shared" si="13"/>
        <v>45657</v>
      </c>
    </row>
    <row r="139" spans="1:18" ht="29.4" thickBot="1" x14ac:dyDescent="0.35">
      <c r="A139" s="2" t="s">
        <v>341</v>
      </c>
      <c r="B139" s="4">
        <v>45673</v>
      </c>
      <c r="C139" s="2" t="s">
        <v>59</v>
      </c>
      <c r="D139" s="2" t="s">
        <v>60</v>
      </c>
      <c r="E139" s="2" t="s">
        <v>44</v>
      </c>
      <c r="F139" s="2" t="s">
        <v>45</v>
      </c>
      <c r="G139" s="2" t="s">
        <v>46</v>
      </c>
      <c r="H139" s="21">
        <v>3</v>
      </c>
      <c r="I139" s="21">
        <v>149.99</v>
      </c>
      <c r="J139" s="2" t="s">
        <v>26</v>
      </c>
      <c r="K139" s="2" t="s">
        <v>63</v>
      </c>
      <c r="L139" s="2" t="s">
        <v>36</v>
      </c>
      <c r="M139" s="4">
        <v>44395</v>
      </c>
      <c r="N139" s="5">
        <f t="shared" si="14"/>
        <v>449.97</v>
      </c>
      <c r="O139" s="3">
        <f t="shared" ca="1" si="10"/>
        <v>46143</v>
      </c>
      <c r="P139" s="8">
        <f t="shared" ca="1" si="11"/>
        <v>46143.95781284722</v>
      </c>
      <c r="Q139">
        <f t="shared" si="12"/>
        <v>1278</v>
      </c>
      <c r="R139" s="3">
        <f t="shared" si="13"/>
        <v>45688</v>
      </c>
    </row>
    <row r="140" spans="1:18" ht="29.4" thickBot="1" x14ac:dyDescent="0.35">
      <c r="A140" s="2" t="s">
        <v>352</v>
      </c>
      <c r="B140" s="4">
        <v>45695</v>
      </c>
      <c r="C140" s="2" t="s">
        <v>246</v>
      </c>
      <c r="D140" s="2" t="s">
        <v>247</v>
      </c>
      <c r="E140" s="2" t="s">
        <v>44</v>
      </c>
      <c r="F140" s="2" t="s">
        <v>45</v>
      </c>
      <c r="G140" s="2" t="s">
        <v>46</v>
      </c>
      <c r="H140" s="21">
        <v>3</v>
      </c>
      <c r="I140" s="21">
        <v>149.99</v>
      </c>
      <c r="J140" s="2" t="s">
        <v>57</v>
      </c>
      <c r="K140" s="2" t="s">
        <v>40</v>
      </c>
      <c r="L140" s="2" t="s">
        <v>27</v>
      </c>
      <c r="M140" s="4">
        <v>44564</v>
      </c>
      <c r="N140" s="5">
        <f t="shared" si="14"/>
        <v>449.97</v>
      </c>
      <c r="O140" s="3">
        <f t="shared" ca="1" si="10"/>
        <v>46143</v>
      </c>
      <c r="P140" s="8">
        <f t="shared" ca="1" si="11"/>
        <v>46143.95781284722</v>
      </c>
      <c r="Q140">
        <f t="shared" si="12"/>
        <v>1131</v>
      </c>
      <c r="R140" s="3">
        <f t="shared" si="13"/>
        <v>45716</v>
      </c>
    </row>
    <row r="141" spans="1:18" ht="29.4" thickBot="1" x14ac:dyDescent="0.35">
      <c r="A141" s="2" t="s">
        <v>360</v>
      </c>
      <c r="B141" s="4">
        <v>45707</v>
      </c>
      <c r="C141" s="2" t="s">
        <v>42</v>
      </c>
      <c r="D141" s="2" t="s">
        <v>43</v>
      </c>
      <c r="E141" s="2" t="s">
        <v>44</v>
      </c>
      <c r="F141" s="2" t="s">
        <v>45</v>
      </c>
      <c r="G141" s="2" t="s">
        <v>46</v>
      </c>
      <c r="H141" s="21">
        <v>3</v>
      </c>
      <c r="I141" s="21">
        <v>149.99</v>
      </c>
      <c r="J141" s="2" t="s">
        <v>34</v>
      </c>
      <c r="K141" s="2" t="s">
        <v>21</v>
      </c>
      <c r="L141" s="2" t="s">
        <v>36</v>
      </c>
      <c r="M141" s="4">
        <v>44633</v>
      </c>
      <c r="N141" s="5">
        <f t="shared" si="14"/>
        <v>449.97</v>
      </c>
      <c r="O141" s="3">
        <f t="shared" ca="1" si="10"/>
        <v>46143</v>
      </c>
      <c r="P141" s="8">
        <f t="shared" ca="1" si="11"/>
        <v>46143.95781284722</v>
      </c>
      <c r="Q141">
        <f t="shared" si="12"/>
        <v>1074</v>
      </c>
      <c r="R141" s="3">
        <f t="shared" si="13"/>
        <v>45716</v>
      </c>
    </row>
    <row r="142" spans="1:18" ht="29.4" thickBot="1" x14ac:dyDescent="0.35">
      <c r="A142" s="2" t="s">
        <v>390</v>
      </c>
      <c r="B142" s="4">
        <v>45746</v>
      </c>
      <c r="C142" s="2" t="s">
        <v>93</v>
      </c>
      <c r="D142" s="2" t="s">
        <v>94</v>
      </c>
      <c r="E142" s="2" t="s">
        <v>44</v>
      </c>
      <c r="F142" s="2" t="s">
        <v>45</v>
      </c>
      <c r="G142" s="2" t="s">
        <v>46</v>
      </c>
      <c r="H142" s="21">
        <v>3</v>
      </c>
      <c r="I142" s="21">
        <v>149.99</v>
      </c>
      <c r="J142" s="2" t="s">
        <v>34</v>
      </c>
      <c r="K142" s="2" t="s">
        <v>21</v>
      </c>
      <c r="L142" s="2" t="s">
        <v>36</v>
      </c>
      <c r="M142" s="4">
        <v>45171</v>
      </c>
      <c r="N142" s="5">
        <f t="shared" si="14"/>
        <v>449.97</v>
      </c>
      <c r="O142" s="3">
        <f t="shared" ca="1" si="10"/>
        <v>46143</v>
      </c>
      <c r="P142" s="8">
        <f t="shared" ca="1" si="11"/>
        <v>46143.95781284722</v>
      </c>
      <c r="Q142">
        <f t="shared" si="12"/>
        <v>575</v>
      </c>
      <c r="R142" s="3">
        <f t="shared" si="13"/>
        <v>45747</v>
      </c>
    </row>
    <row r="143" spans="1:18" ht="29.4" thickBot="1" x14ac:dyDescent="0.35">
      <c r="A143" s="2" t="s">
        <v>116</v>
      </c>
      <c r="B143" s="4">
        <v>45424</v>
      </c>
      <c r="C143" s="2" t="s">
        <v>99</v>
      </c>
      <c r="D143" s="2" t="s">
        <v>100</v>
      </c>
      <c r="E143" s="2" t="s">
        <v>117</v>
      </c>
      <c r="F143" s="2" t="s">
        <v>118</v>
      </c>
      <c r="G143" s="2" t="s">
        <v>19</v>
      </c>
      <c r="H143" s="21">
        <v>5</v>
      </c>
      <c r="I143" s="21">
        <v>89.99</v>
      </c>
      <c r="J143" s="2" t="s">
        <v>20</v>
      </c>
      <c r="K143" s="2" t="s">
        <v>40</v>
      </c>
      <c r="L143" s="2" t="s">
        <v>27</v>
      </c>
      <c r="M143" s="4">
        <v>44919</v>
      </c>
      <c r="N143" s="5">
        <f t="shared" si="14"/>
        <v>449.95</v>
      </c>
      <c r="O143" s="3">
        <f t="shared" ca="1" si="10"/>
        <v>46143</v>
      </c>
      <c r="P143" s="8">
        <f t="shared" ca="1" si="11"/>
        <v>46143.95781284722</v>
      </c>
      <c r="Q143">
        <f t="shared" si="12"/>
        <v>505</v>
      </c>
      <c r="R143" s="3">
        <f t="shared" si="13"/>
        <v>45443</v>
      </c>
    </row>
    <row r="144" spans="1:18" ht="29.4" thickBot="1" x14ac:dyDescent="0.35">
      <c r="A144" s="2" t="s">
        <v>153</v>
      </c>
      <c r="B144" s="4">
        <v>45446</v>
      </c>
      <c r="C144" s="2" t="s">
        <v>154</v>
      </c>
      <c r="D144" s="2" t="s">
        <v>155</v>
      </c>
      <c r="E144" s="2" t="s">
        <v>117</v>
      </c>
      <c r="F144" s="2" t="s">
        <v>118</v>
      </c>
      <c r="G144" s="2" t="s">
        <v>19</v>
      </c>
      <c r="H144" s="21">
        <v>5</v>
      </c>
      <c r="I144" s="21">
        <v>89.99</v>
      </c>
      <c r="J144" s="2" t="s">
        <v>26</v>
      </c>
      <c r="K144" s="2" t="s">
        <v>63</v>
      </c>
      <c r="L144" s="2" t="s">
        <v>36</v>
      </c>
      <c r="M144" s="4">
        <v>44587</v>
      </c>
      <c r="N144" s="5">
        <f t="shared" si="14"/>
        <v>449.95</v>
      </c>
      <c r="O144" s="3">
        <f t="shared" ca="1" si="10"/>
        <v>46143</v>
      </c>
      <c r="P144" s="8">
        <f t="shared" ca="1" si="11"/>
        <v>46143.95781284722</v>
      </c>
      <c r="Q144">
        <f t="shared" si="12"/>
        <v>859</v>
      </c>
      <c r="R144" s="3">
        <f t="shared" si="13"/>
        <v>45473</v>
      </c>
    </row>
    <row r="145" spans="1:18" ht="29.4" thickBot="1" x14ac:dyDescent="0.35">
      <c r="A145" s="2" t="s">
        <v>164</v>
      </c>
      <c r="B145" s="4">
        <v>45456</v>
      </c>
      <c r="C145" s="2" t="s">
        <v>129</v>
      </c>
      <c r="D145" s="2" t="s">
        <v>130</v>
      </c>
      <c r="E145" s="2" t="s">
        <v>117</v>
      </c>
      <c r="F145" s="2" t="s">
        <v>118</v>
      </c>
      <c r="G145" s="2" t="s">
        <v>19</v>
      </c>
      <c r="H145" s="21">
        <v>5</v>
      </c>
      <c r="I145" s="21">
        <v>89.99</v>
      </c>
      <c r="J145" s="2" t="s">
        <v>20</v>
      </c>
      <c r="K145" s="2" t="s">
        <v>21</v>
      </c>
      <c r="L145" s="2" t="s">
        <v>27</v>
      </c>
      <c r="M145" s="4">
        <v>44579</v>
      </c>
      <c r="N145" s="5">
        <f t="shared" si="14"/>
        <v>449.95</v>
      </c>
      <c r="O145" s="3">
        <f t="shared" ca="1" si="10"/>
        <v>46143</v>
      </c>
      <c r="P145" s="8">
        <f t="shared" ca="1" si="11"/>
        <v>46143.95781284722</v>
      </c>
      <c r="Q145">
        <f t="shared" si="12"/>
        <v>877</v>
      </c>
      <c r="R145" s="3">
        <f t="shared" si="13"/>
        <v>45473</v>
      </c>
    </row>
    <row r="146" spans="1:18" ht="29.4" thickBot="1" x14ac:dyDescent="0.35">
      <c r="A146" s="2" t="s">
        <v>188</v>
      </c>
      <c r="B146" s="4">
        <v>45481</v>
      </c>
      <c r="C146" s="2" t="s">
        <v>96</v>
      </c>
      <c r="D146" s="2" t="s">
        <v>97</v>
      </c>
      <c r="E146" s="2" t="s">
        <v>117</v>
      </c>
      <c r="F146" s="2" t="s">
        <v>118</v>
      </c>
      <c r="G146" s="2" t="s">
        <v>19</v>
      </c>
      <c r="H146" s="21">
        <v>5</v>
      </c>
      <c r="I146" s="21">
        <v>89.99</v>
      </c>
      <c r="J146" s="2" t="s">
        <v>57</v>
      </c>
      <c r="K146" s="2" t="s">
        <v>40</v>
      </c>
      <c r="L146" s="2" t="s">
        <v>27</v>
      </c>
      <c r="M146" s="4">
        <v>45161</v>
      </c>
      <c r="N146" s="5">
        <f t="shared" si="14"/>
        <v>449.95</v>
      </c>
      <c r="O146" s="3">
        <f t="shared" ca="1" si="10"/>
        <v>46143</v>
      </c>
      <c r="P146" s="8">
        <f t="shared" ca="1" si="11"/>
        <v>46143.95781284722</v>
      </c>
      <c r="Q146">
        <f t="shared" si="12"/>
        <v>320</v>
      </c>
      <c r="R146" s="3">
        <f t="shared" si="13"/>
        <v>45504</v>
      </c>
    </row>
    <row r="147" spans="1:18" ht="29.4" thickBot="1" x14ac:dyDescent="0.35">
      <c r="A147" s="2" t="s">
        <v>250</v>
      </c>
      <c r="B147" s="4">
        <v>45554</v>
      </c>
      <c r="C147" s="2" t="s">
        <v>147</v>
      </c>
      <c r="D147" s="2" t="s">
        <v>148</v>
      </c>
      <c r="E147" s="2" t="s">
        <v>117</v>
      </c>
      <c r="F147" s="2" t="s">
        <v>118</v>
      </c>
      <c r="G147" s="2" t="s">
        <v>19</v>
      </c>
      <c r="H147" s="21">
        <v>5</v>
      </c>
      <c r="I147" s="21">
        <v>89.99</v>
      </c>
      <c r="J147" s="2" t="s">
        <v>26</v>
      </c>
      <c r="K147" s="2" t="s">
        <v>63</v>
      </c>
      <c r="L147" s="2" t="s">
        <v>27</v>
      </c>
      <c r="M147" s="4">
        <v>44446</v>
      </c>
      <c r="N147" s="5">
        <f t="shared" si="14"/>
        <v>449.95</v>
      </c>
      <c r="O147" s="3">
        <f t="shared" ca="1" si="10"/>
        <v>46143</v>
      </c>
      <c r="P147" s="8">
        <f t="shared" ca="1" si="11"/>
        <v>46143.95781284722</v>
      </c>
      <c r="Q147">
        <f t="shared" si="12"/>
        <v>1108</v>
      </c>
      <c r="R147" s="3">
        <f t="shared" si="13"/>
        <v>45565</v>
      </c>
    </row>
    <row r="148" spans="1:18" ht="29.4" thickBot="1" x14ac:dyDescent="0.35">
      <c r="A148" s="2" t="s">
        <v>367</v>
      </c>
      <c r="B148" s="4">
        <v>45711</v>
      </c>
      <c r="C148" s="2" t="s">
        <v>211</v>
      </c>
      <c r="D148" s="2" t="s">
        <v>212</v>
      </c>
      <c r="E148" s="2" t="s">
        <v>117</v>
      </c>
      <c r="F148" s="2" t="s">
        <v>118</v>
      </c>
      <c r="G148" s="2" t="s">
        <v>19</v>
      </c>
      <c r="H148" s="21">
        <v>5</v>
      </c>
      <c r="I148" s="21">
        <v>89.99</v>
      </c>
      <c r="J148" s="2" t="s">
        <v>34</v>
      </c>
      <c r="K148" s="2" t="s">
        <v>50</v>
      </c>
      <c r="L148" s="2" t="s">
        <v>27</v>
      </c>
      <c r="M148" s="4">
        <v>45140</v>
      </c>
      <c r="N148" s="5">
        <f t="shared" si="14"/>
        <v>449.95</v>
      </c>
      <c r="O148" s="3">
        <f t="shared" ca="1" si="10"/>
        <v>46143</v>
      </c>
      <c r="P148" s="8">
        <f t="shared" ca="1" si="11"/>
        <v>46143.95781284722</v>
      </c>
      <c r="Q148">
        <f t="shared" si="12"/>
        <v>571</v>
      </c>
      <c r="R148" s="3">
        <f t="shared" si="13"/>
        <v>45716</v>
      </c>
    </row>
    <row r="149" spans="1:18" ht="29.4" thickBot="1" x14ac:dyDescent="0.35">
      <c r="A149" s="2" t="s">
        <v>389</v>
      </c>
      <c r="B149" s="4">
        <v>45745</v>
      </c>
      <c r="C149" s="2" t="s">
        <v>185</v>
      </c>
      <c r="D149" s="2" t="s">
        <v>186</v>
      </c>
      <c r="E149" s="2" t="s">
        <v>117</v>
      </c>
      <c r="F149" s="2" t="s">
        <v>118</v>
      </c>
      <c r="G149" s="2" t="s">
        <v>19</v>
      </c>
      <c r="H149" s="21">
        <v>5</v>
      </c>
      <c r="I149" s="21">
        <v>89.99</v>
      </c>
      <c r="J149" s="2" t="s">
        <v>34</v>
      </c>
      <c r="K149" s="2" t="s">
        <v>35</v>
      </c>
      <c r="L149" s="2" t="s">
        <v>22</v>
      </c>
      <c r="M149" s="4">
        <v>44704</v>
      </c>
      <c r="N149" s="5">
        <f t="shared" si="14"/>
        <v>449.95</v>
      </c>
      <c r="O149" s="3">
        <f t="shared" ca="1" si="10"/>
        <v>46143</v>
      </c>
      <c r="P149" s="8">
        <f t="shared" ca="1" si="11"/>
        <v>46143.95781284722</v>
      </c>
      <c r="Q149">
        <f t="shared" si="12"/>
        <v>1041</v>
      </c>
      <c r="R149" s="3">
        <f t="shared" si="13"/>
        <v>45747</v>
      </c>
    </row>
    <row r="150" spans="1:18" ht="29.4" thickBot="1" x14ac:dyDescent="0.35">
      <c r="A150" s="2" t="s">
        <v>194</v>
      </c>
      <c r="B150" s="4">
        <v>45487</v>
      </c>
      <c r="C150" s="2" t="s">
        <v>192</v>
      </c>
      <c r="D150" s="2" t="s">
        <v>193</v>
      </c>
      <c r="E150" s="2" t="s">
        <v>126</v>
      </c>
      <c r="F150" s="2" t="s">
        <v>127</v>
      </c>
      <c r="G150" s="2" t="s">
        <v>46</v>
      </c>
      <c r="H150" s="21">
        <v>2</v>
      </c>
      <c r="I150" s="21">
        <v>199.99</v>
      </c>
      <c r="J150" s="2" t="s">
        <v>20</v>
      </c>
      <c r="K150" s="2" t="s">
        <v>40</v>
      </c>
      <c r="L150" s="2" t="s">
        <v>22</v>
      </c>
      <c r="M150" s="4">
        <v>44541</v>
      </c>
      <c r="N150" s="5">
        <f t="shared" si="14"/>
        <v>399.98</v>
      </c>
      <c r="O150" s="3">
        <f t="shared" ca="1" si="10"/>
        <v>46143</v>
      </c>
      <c r="P150" s="8">
        <f t="shared" ca="1" si="11"/>
        <v>46143.95781284722</v>
      </c>
      <c r="Q150">
        <f t="shared" si="12"/>
        <v>946</v>
      </c>
      <c r="R150" s="3">
        <f t="shared" si="13"/>
        <v>45504</v>
      </c>
    </row>
    <row r="151" spans="1:18" ht="29.4" thickBot="1" x14ac:dyDescent="0.35">
      <c r="A151" s="2" t="s">
        <v>368</v>
      </c>
      <c r="B151" s="4">
        <v>45712</v>
      </c>
      <c r="C151" s="2" t="s">
        <v>138</v>
      </c>
      <c r="D151" s="2" t="s">
        <v>139</v>
      </c>
      <c r="E151" s="2" t="s">
        <v>126</v>
      </c>
      <c r="F151" s="2" t="s">
        <v>127</v>
      </c>
      <c r="G151" s="2" t="s">
        <v>46</v>
      </c>
      <c r="H151" s="21">
        <v>2</v>
      </c>
      <c r="I151" s="21">
        <v>199.99</v>
      </c>
      <c r="J151" s="2" t="s">
        <v>20</v>
      </c>
      <c r="K151" s="2" t="s">
        <v>21</v>
      </c>
      <c r="L151" s="2" t="s">
        <v>27</v>
      </c>
      <c r="M151" s="4">
        <v>44573</v>
      </c>
      <c r="N151" s="5">
        <f t="shared" si="14"/>
        <v>399.98</v>
      </c>
      <c r="O151" s="3">
        <f t="shared" ca="1" si="10"/>
        <v>46143</v>
      </c>
      <c r="P151" s="8">
        <f t="shared" ca="1" si="11"/>
        <v>46143.95781284722</v>
      </c>
      <c r="Q151">
        <f t="shared" si="12"/>
        <v>1139</v>
      </c>
      <c r="R151" s="3">
        <f t="shared" si="13"/>
        <v>45716</v>
      </c>
    </row>
    <row r="152" spans="1:18" ht="29.4" thickBot="1" x14ac:dyDescent="0.35">
      <c r="A152" s="2" t="s">
        <v>181</v>
      </c>
      <c r="B152" s="4">
        <v>45476</v>
      </c>
      <c r="C152" s="2" t="s">
        <v>182</v>
      </c>
      <c r="D152" s="2" t="s">
        <v>183</v>
      </c>
      <c r="E152" s="2" t="s">
        <v>114</v>
      </c>
      <c r="F152" s="2" t="s">
        <v>115</v>
      </c>
      <c r="G152" s="2" t="s">
        <v>33</v>
      </c>
      <c r="H152" s="21">
        <v>5</v>
      </c>
      <c r="I152" s="21">
        <v>79.989999999999995</v>
      </c>
      <c r="J152" s="2" t="s">
        <v>57</v>
      </c>
      <c r="K152" s="2" t="s">
        <v>21</v>
      </c>
      <c r="L152" s="2" t="s">
        <v>22</v>
      </c>
      <c r="M152" s="4">
        <v>44981</v>
      </c>
      <c r="N152" s="5">
        <f t="shared" si="14"/>
        <v>399.95</v>
      </c>
      <c r="O152" s="3">
        <f t="shared" ca="1" si="10"/>
        <v>46143</v>
      </c>
      <c r="P152" s="8">
        <f t="shared" ca="1" si="11"/>
        <v>46143.95781284722</v>
      </c>
      <c r="Q152">
        <f t="shared" si="12"/>
        <v>495</v>
      </c>
      <c r="R152" s="3">
        <f t="shared" si="13"/>
        <v>45504</v>
      </c>
    </row>
    <row r="153" spans="1:18" ht="29.4" thickBot="1" x14ac:dyDescent="0.35">
      <c r="A153" s="2" t="s">
        <v>170</v>
      </c>
      <c r="B153" s="4">
        <v>45468</v>
      </c>
      <c r="C153" s="2" t="s">
        <v>171</v>
      </c>
      <c r="D153" s="2" t="s">
        <v>172</v>
      </c>
      <c r="E153" s="2" t="s">
        <v>117</v>
      </c>
      <c r="F153" s="2" t="s">
        <v>118</v>
      </c>
      <c r="G153" s="2" t="s">
        <v>19</v>
      </c>
      <c r="H153" s="21">
        <v>4</v>
      </c>
      <c r="I153" s="21">
        <v>89.99</v>
      </c>
      <c r="J153" s="2" t="s">
        <v>57</v>
      </c>
      <c r="K153" s="2" t="s">
        <v>35</v>
      </c>
      <c r="L153" s="2" t="s">
        <v>22</v>
      </c>
      <c r="M153" s="4">
        <v>45281</v>
      </c>
      <c r="N153" s="5">
        <f t="shared" si="14"/>
        <v>359.96</v>
      </c>
      <c r="O153" s="3">
        <f t="shared" ca="1" si="10"/>
        <v>46143</v>
      </c>
      <c r="P153" s="8">
        <f t="shared" ca="1" si="11"/>
        <v>46143.95781284722</v>
      </c>
      <c r="Q153">
        <f t="shared" si="12"/>
        <v>187</v>
      </c>
      <c r="R153" s="3">
        <f t="shared" si="13"/>
        <v>45473</v>
      </c>
    </row>
    <row r="154" spans="1:18" ht="29.4" thickBot="1" x14ac:dyDescent="0.35">
      <c r="A154" s="2" t="s">
        <v>241</v>
      </c>
      <c r="B154" s="4">
        <v>45544</v>
      </c>
      <c r="C154" s="2" t="s">
        <v>141</v>
      </c>
      <c r="D154" s="2" t="s">
        <v>142</v>
      </c>
      <c r="E154" s="2" t="s">
        <v>114</v>
      </c>
      <c r="F154" s="2" t="s">
        <v>115</v>
      </c>
      <c r="G154" s="2" t="s">
        <v>33</v>
      </c>
      <c r="H154" s="21">
        <v>4</v>
      </c>
      <c r="I154" s="21">
        <v>79.989999999999995</v>
      </c>
      <c r="J154" s="2" t="s">
        <v>20</v>
      </c>
      <c r="K154" s="2" t="s">
        <v>40</v>
      </c>
      <c r="L154" s="2" t="s">
        <v>22</v>
      </c>
      <c r="M154" s="4">
        <v>44530</v>
      </c>
      <c r="N154" s="5">
        <f t="shared" si="14"/>
        <v>319.95999999999998</v>
      </c>
      <c r="O154" s="3">
        <f t="shared" ca="1" si="10"/>
        <v>46143</v>
      </c>
      <c r="P154" s="8">
        <f t="shared" ca="1" si="11"/>
        <v>46143.95781284722</v>
      </c>
      <c r="Q154">
        <f t="shared" si="12"/>
        <v>1014</v>
      </c>
      <c r="R154" s="3">
        <f t="shared" si="13"/>
        <v>45565</v>
      </c>
    </row>
    <row r="155" spans="1:18" ht="29.4" thickBot="1" x14ac:dyDescent="0.35">
      <c r="A155" s="2" t="s">
        <v>306</v>
      </c>
      <c r="B155" s="4">
        <v>45635</v>
      </c>
      <c r="C155" s="2" t="s">
        <v>141</v>
      </c>
      <c r="D155" s="2" t="s">
        <v>142</v>
      </c>
      <c r="E155" s="2" t="s">
        <v>114</v>
      </c>
      <c r="F155" s="2" t="s">
        <v>115</v>
      </c>
      <c r="G155" s="2" t="s">
        <v>33</v>
      </c>
      <c r="H155" s="21">
        <v>4</v>
      </c>
      <c r="I155" s="21">
        <v>79.989999999999995</v>
      </c>
      <c r="J155" s="2" t="s">
        <v>57</v>
      </c>
      <c r="K155" s="2" t="s">
        <v>63</v>
      </c>
      <c r="L155" s="2" t="s">
        <v>36</v>
      </c>
      <c r="M155" s="4">
        <v>44921</v>
      </c>
      <c r="N155" s="5">
        <f t="shared" si="14"/>
        <v>319.95999999999998</v>
      </c>
      <c r="O155" s="3">
        <f t="shared" ca="1" si="10"/>
        <v>46143</v>
      </c>
      <c r="P155" s="8">
        <f t="shared" ca="1" si="11"/>
        <v>46143.95781284722</v>
      </c>
      <c r="Q155">
        <f t="shared" si="12"/>
        <v>714</v>
      </c>
      <c r="R155" s="3">
        <f t="shared" si="13"/>
        <v>45657</v>
      </c>
    </row>
    <row r="156" spans="1:18" ht="29.4" thickBot="1" x14ac:dyDescent="0.35">
      <c r="A156" s="2" t="s">
        <v>388</v>
      </c>
      <c r="B156" s="4">
        <v>45743</v>
      </c>
      <c r="C156" s="2" t="s">
        <v>102</v>
      </c>
      <c r="D156" s="2" t="s">
        <v>103</v>
      </c>
      <c r="E156" s="2" t="s">
        <v>114</v>
      </c>
      <c r="F156" s="2" t="s">
        <v>115</v>
      </c>
      <c r="G156" s="2" t="s">
        <v>33</v>
      </c>
      <c r="H156" s="21">
        <v>4</v>
      </c>
      <c r="I156" s="21">
        <v>79.989999999999995</v>
      </c>
      <c r="J156" s="2" t="s">
        <v>26</v>
      </c>
      <c r="K156" s="2" t="s">
        <v>21</v>
      </c>
      <c r="L156" s="2" t="s">
        <v>22</v>
      </c>
      <c r="M156" s="4">
        <v>45288</v>
      </c>
      <c r="N156" s="5">
        <f t="shared" si="14"/>
        <v>319.95999999999998</v>
      </c>
      <c r="O156" s="3">
        <f t="shared" ca="1" si="10"/>
        <v>46143</v>
      </c>
      <c r="P156" s="8">
        <f t="shared" ca="1" si="11"/>
        <v>46143.95781284722</v>
      </c>
      <c r="Q156">
        <f t="shared" si="12"/>
        <v>455</v>
      </c>
      <c r="R156" s="3">
        <f t="shared" si="13"/>
        <v>45747</v>
      </c>
    </row>
    <row r="157" spans="1:18" ht="29.4" thickBot="1" x14ac:dyDescent="0.35">
      <c r="A157" s="2" t="s">
        <v>191</v>
      </c>
      <c r="B157" s="4">
        <v>45484</v>
      </c>
      <c r="C157" s="2" t="s">
        <v>192</v>
      </c>
      <c r="D157" s="2" t="s">
        <v>193</v>
      </c>
      <c r="E157" s="2" t="s">
        <v>105</v>
      </c>
      <c r="F157" s="2" t="s">
        <v>106</v>
      </c>
      <c r="G157" s="2" t="s">
        <v>46</v>
      </c>
      <c r="H157" s="21">
        <v>1</v>
      </c>
      <c r="I157" s="21">
        <v>299.99</v>
      </c>
      <c r="J157" s="2" t="s">
        <v>26</v>
      </c>
      <c r="K157" s="2" t="s">
        <v>40</v>
      </c>
      <c r="L157" s="2" t="s">
        <v>27</v>
      </c>
      <c r="M157" s="4">
        <v>44891</v>
      </c>
      <c r="N157" s="5">
        <f t="shared" si="14"/>
        <v>299.99</v>
      </c>
      <c r="O157" s="3">
        <f t="shared" ca="1" si="10"/>
        <v>46143</v>
      </c>
      <c r="P157" s="8">
        <f t="shared" ca="1" si="11"/>
        <v>46143.95781284722</v>
      </c>
      <c r="Q157">
        <f t="shared" si="12"/>
        <v>593</v>
      </c>
      <c r="R157" s="3">
        <f t="shared" si="13"/>
        <v>45504</v>
      </c>
    </row>
    <row r="158" spans="1:18" ht="29.4" thickBot="1" x14ac:dyDescent="0.35">
      <c r="A158" s="2" t="s">
        <v>205</v>
      </c>
      <c r="B158" s="4">
        <v>45500</v>
      </c>
      <c r="C158" s="2" t="s">
        <v>147</v>
      </c>
      <c r="D158" s="2" t="s">
        <v>148</v>
      </c>
      <c r="E158" s="2" t="s">
        <v>105</v>
      </c>
      <c r="F158" s="2" t="s">
        <v>106</v>
      </c>
      <c r="G158" s="2" t="s">
        <v>46</v>
      </c>
      <c r="H158" s="21">
        <v>1</v>
      </c>
      <c r="I158" s="21">
        <v>299.99</v>
      </c>
      <c r="J158" s="2" t="s">
        <v>20</v>
      </c>
      <c r="K158" s="2" t="s">
        <v>35</v>
      </c>
      <c r="L158" s="2" t="s">
        <v>22</v>
      </c>
      <c r="M158" s="4">
        <v>44982</v>
      </c>
      <c r="N158" s="5">
        <f t="shared" si="14"/>
        <v>299.99</v>
      </c>
      <c r="O158" s="3">
        <f t="shared" ca="1" si="10"/>
        <v>46143</v>
      </c>
      <c r="P158" s="8">
        <f t="shared" ca="1" si="11"/>
        <v>46143.95781284722</v>
      </c>
      <c r="Q158">
        <f t="shared" si="12"/>
        <v>518</v>
      </c>
      <c r="R158" s="3">
        <f t="shared" si="13"/>
        <v>45504</v>
      </c>
    </row>
    <row r="159" spans="1:18" ht="29.4" thickBot="1" x14ac:dyDescent="0.35">
      <c r="A159" s="2" t="s">
        <v>335</v>
      </c>
      <c r="B159" s="4">
        <v>45670</v>
      </c>
      <c r="C159" s="2" t="s">
        <v>86</v>
      </c>
      <c r="D159" s="2" t="s">
        <v>87</v>
      </c>
      <c r="E159" s="2" t="s">
        <v>105</v>
      </c>
      <c r="F159" s="2" t="s">
        <v>106</v>
      </c>
      <c r="G159" s="2" t="s">
        <v>46</v>
      </c>
      <c r="H159" s="21">
        <v>1</v>
      </c>
      <c r="I159" s="21">
        <v>299.99</v>
      </c>
      <c r="J159" s="2" t="s">
        <v>26</v>
      </c>
      <c r="K159" s="2" t="s">
        <v>40</v>
      </c>
      <c r="L159" s="2" t="s">
        <v>22</v>
      </c>
      <c r="M159" s="4">
        <v>44436</v>
      </c>
      <c r="N159" s="5">
        <f t="shared" si="14"/>
        <v>299.99</v>
      </c>
      <c r="O159" s="3">
        <f t="shared" ca="1" si="10"/>
        <v>46143</v>
      </c>
      <c r="P159" s="8">
        <f t="shared" ca="1" si="11"/>
        <v>46143.95781284722</v>
      </c>
      <c r="Q159">
        <f t="shared" si="12"/>
        <v>1234</v>
      </c>
      <c r="R159" s="3">
        <f t="shared" si="13"/>
        <v>45688</v>
      </c>
    </row>
    <row r="160" spans="1:18" ht="29.4" thickBot="1" x14ac:dyDescent="0.35">
      <c r="A160" s="2" t="s">
        <v>128</v>
      </c>
      <c r="B160" s="4">
        <v>45428</v>
      </c>
      <c r="C160" s="2" t="s">
        <v>129</v>
      </c>
      <c r="D160" s="2" t="s">
        <v>130</v>
      </c>
      <c r="E160" s="2" t="s">
        <v>44</v>
      </c>
      <c r="F160" s="2" t="s">
        <v>45</v>
      </c>
      <c r="G160" s="2" t="s">
        <v>46</v>
      </c>
      <c r="H160" s="21">
        <v>2</v>
      </c>
      <c r="I160" s="21">
        <v>149.99</v>
      </c>
      <c r="J160" s="2" t="s">
        <v>26</v>
      </c>
      <c r="K160" s="2" t="s">
        <v>50</v>
      </c>
      <c r="L160" s="2" t="s">
        <v>22</v>
      </c>
      <c r="M160" s="4">
        <v>44823</v>
      </c>
      <c r="N160" s="5">
        <f t="shared" si="14"/>
        <v>299.98</v>
      </c>
      <c r="O160" s="3">
        <f t="shared" ca="1" si="10"/>
        <v>46143</v>
      </c>
      <c r="P160" s="8">
        <f t="shared" ca="1" si="11"/>
        <v>46143.95781284722</v>
      </c>
      <c r="Q160">
        <f t="shared" si="12"/>
        <v>605</v>
      </c>
      <c r="R160" s="3">
        <f t="shared" si="13"/>
        <v>45443</v>
      </c>
    </row>
    <row r="161" spans="1:18" ht="29.4" thickBot="1" x14ac:dyDescent="0.35">
      <c r="A161" s="2" t="s">
        <v>160</v>
      </c>
      <c r="B161" s="4">
        <v>45450</v>
      </c>
      <c r="C161" s="2" t="s">
        <v>42</v>
      </c>
      <c r="D161" s="2" t="s">
        <v>43</v>
      </c>
      <c r="E161" s="2" t="s">
        <v>44</v>
      </c>
      <c r="F161" s="2" t="s">
        <v>45</v>
      </c>
      <c r="G161" s="2" t="s">
        <v>46</v>
      </c>
      <c r="H161" s="21">
        <v>2</v>
      </c>
      <c r="I161" s="21">
        <v>149.99</v>
      </c>
      <c r="J161" s="2" t="s">
        <v>20</v>
      </c>
      <c r="K161" s="2" t="s">
        <v>63</v>
      </c>
      <c r="L161" s="2" t="s">
        <v>27</v>
      </c>
      <c r="M161" s="4">
        <v>44645</v>
      </c>
      <c r="N161" s="5">
        <f t="shared" si="14"/>
        <v>299.98</v>
      </c>
      <c r="O161" s="3">
        <f t="shared" ca="1" si="10"/>
        <v>46143</v>
      </c>
      <c r="P161" s="8">
        <f t="shared" ca="1" si="11"/>
        <v>46143.95781284722</v>
      </c>
      <c r="Q161">
        <f t="shared" si="12"/>
        <v>805</v>
      </c>
      <c r="R161" s="3">
        <f t="shared" si="13"/>
        <v>45473</v>
      </c>
    </row>
    <row r="162" spans="1:18" ht="29.4" thickBot="1" x14ac:dyDescent="0.35">
      <c r="A162" s="2" t="s">
        <v>210</v>
      </c>
      <c r="B162" s="4">
        <v>45509</v>
      </c>
      <c r="C162" s="2" t="s">
        <v>211</v>
      </c>
      <c r="D162" s="2" t="s">
        <v>212</v>
      </c>
      <c r="E162" s="2" t="s">
        <v>44</v>
      </c>
      <c r="F162" s="2" t="s">
        <v>45</v>
      </c>
      <c r="G162" s="2" t="s">
        <v>46</v>
      </c>
      <c r="H162" s="21">
        <v>2</v>
      </c>
      <c r="I162" s="21">
        <v>149.99</v>
      </c>
      <c r="J162" s="2" t="s">
        <v>26</v>
      </c>
      <c r="K162" s="2" t="s">
        <v>50</v>
      </c>
      <c r="L162" s="2" t="s">
        <v>22</v>
      </c>
      <c r="M162" s="4">
        <v>44542</v>
      </c>
      <c r="N162" s="5">
        <f t="shared" si="14"/>
        <v>299.98</v>
      </c>
      <c r="O162" s="3">
        <f t="shared" ca="1" si="10"/>
        <v>46143</v>
      </c>
      <c r="P162" s="8">
        <f t="shared" ca="1" si="11"/>
        <v>46143.95781284722</v>
      </c>
      <c r="Q162">
        <f t="shared" si="12"/>
        <v>967</v>
      </c>
      <c r="R162" s="3">
        <f t="shared" si="13"/>
        <v>45535</v>
      </c>
    </row>
    <row r="163" spans="1:18" ht="29.4" thickBot="1" x14ac:dyDescent="0.35">
      <c r="A163" s="2" t="s">
        <v>213</v>
      </c>
      <c r="B163" s="4">
        <v>45510</v>
      </c>
      <c r="C163" s="2" t="s">
        <v>102</v>
      </c>
      <c r="D163" s="2" t="s">
        <v>103</v>
      </c>
      <c r="E163" s="2" t="s">
        <v>44</v>
      </c>
      <c r="F163" s="2" t="s">
        <v>45</v>
      </c>
      <c r="G163" s="2" t="s">
        <v>46</v>
      </c>
      <c r="H163" s="21">
        <v>2</v>
      </c>
      <c r="I163" s="21">
        <v>149.99</v>
      </c>
      <c r="J163" s="2" t="s">
        <v>57</v>
      </c>
      <c r="K163" s="2" t="s">
        <v>63</v>
      </c>
      <c r="L163" s="2" t="s">
        <v>36</v>
      </c>
      <c r="M163" s="4">
        <v>44667</v>
      </c>
      <c r="N163" s="5">
        <f t="shared" si="14"/>
        <v>299.98</v>
      </c>
      <c r="O163" s="3">
        <f t="shared" ca="1" si="10"/>
        <v>46143</v>
      </c>
      <c r="P163" s="8">
        <f t="shared" ca="1" si="11"/>
        <v>46143.95781284722</v>
      </c>
      <c r="Q163">
        <f t="shared" si="12"/>
        <v>843</v>
      </c>
      <c r="R163" s="3">
        <f t="shared" si="13"/>
        <v>45535</v>
      </c>
    </row>
    <row r="164" spans="1:18" ht="29.4" thickBot="1" x14ac:dyDescent="0.35">
      <c r="A164" s="2" t="s">
        <v>271</v>
      </c>
      <c r="B164" s="4">
        <v>45583</v>
      </c>
      <c r="C164" s="2" t="s">
        <v>226</v>
      </c>
      <c r="D164" s="2" t="s">
        <v>227</v>
      </c>
      <c r="E164" s="2" t="s">
        <v>52</v>
      </c>
      <c r="F164" s="2" t="s">
        <v>53</v>
      </c>
      <c r="G164" s="2" t="s">
        <v>19</v>
      </c>
      <c r="H164" s="21">
        <v>2</v>
      </c>
      <c r="I164" s="21">
        <v>149.99</v>
      </c>
      <c r="J164" s="2" t="s">
        <v>26</v>
      </c>
      <c r="K164" s="2" t="s">
        <v>50</v>
      </c>
      <c r="L164" s="2" t="s">
        <v>22</v>
      </c>
      <c r="M164" s="4">
        <v>44916</v>
      </c>
      <c r="N164" s="5">
        <f t="shared" si="14"/>
        <v>299.98</v>
      </c>
      <c r="O164" s="3">
        <f t="shared" ca="1" si="10"/>
        <v>46143</v>
      </c>
      <c r="P164" s="8">
        <f t="shared" ca="1" si="11"/>
        <v>46143.95781284722</v>
      </c>
      <c r="Q164">
        <f t="shared" si="12"/>
        <v>667</v>
      </c>
      <c r="R164" s="3">
        <f t="shared" si="13"/>
        <v>45596</v>
      </c>
    </row>
    <row r="165" spans="1:18" ht="29.4" thickBot="1" x14ac:dyDescent="0.35">
      <c r="A165" s="2" t="s">
        <v>273</v>
      </c>
      <c r="B165" s="4">
        <v>45588</v>
      </c>
      <c r="C165" s="2" t="s">
        <v>38</v>
      </c>
      <c r="D165" s="2" t="s">
        <v>39</v>
      </c>
      <c r="E165" s="2" t="s">
        <v>52</v>
      </c>
      <c r="F165" s="2" t="s">
        <v>53</v>
      </c>
      <c r="G165" s="2" t="s">
        <v>19</v>
      </c>
      <c r="H165" s="21">
        <v>2</v>
      </c>
      <c r="I165" s="21">
        <v>149.99</v>
      </c>
      <c r="J165" s="2" t="s">
        <v>34</v>
      </c>
      <c r="K165" s="2" t="s">
        <v>21</v>
      </c>
      <c r="L165" s="2" t="s">
        <v>22</v>
      </c>
      <c r="M165" s="4">
        <v>44473</v>
      </c>
      <c r="N165" s="5">
        <f t="shared" si="14"/>
        <v>299.98</v>
      </c>
      <c r="O165" s="3">
        <f t="shared" ca="1" si="10"/>
        <v>46143</v>
      </c>
      <c r="P165" s="8">
        <f t="shared" ca="1" si="11"/>
        <v>46143.95781284722</v>
      </c>
      <c r="Q165">
        <f t="shared" si="12"/>
        <v>1115</v>
      </c>
      <c r="R165" s="3">
        <f t="shared" si="13"/>
        <v>45596</v>
      </c>
    </row>
    <row r="166" spans="1:18" ht="29.4" thickBot="1" x14ac:dyDescent="0.35">
      <c r="A166" s="2" t="s">
        <v>280</v>
      </c>
      <c r="B166" s="4">
        <v>45604</v>
      </c>
      <c r="C166" s="2" t="s">
        <v>89</v>
      </c>
      <c r="D166" s="2" t="s">
        <v>90</v>
      </c>
      <c r="E166" s="2" t="s">
        <v>44</v>
      </c>
      <c r="F166" s="2" t="s">
        <v>45</v>
      </c>
      <c r="G166" s="2" t="s">
        <v>46</v>
      </c>
      <c r="H166" s="21">
        <v>2</v>
      </c>
      <c r="I166" s="21">
        <v>149.99</v>
      </c>
      <c r="J166" s="2" t="s">
        <v>26</v>
      </c>
      <c r="K166" s="2" t="s">
        <v>50</v>
      </c>
      <c r="L166" s="2" t="s">
        <v>27</v>
      </c>
      <c r="M166" s="4">
        <v>44848</v>
      </c>
      <c r="N166" s="5">
        <f t="shared" si="14"/>
        <v>299.98</v>
      </c>
      <c r="O166" s="3">
        <f t="shared" ca="1" si="10"/>
        <v>46143</v>
      </c>
      <c r="P166" s="8">
        <f t="shared" ca="1" si="11"/>
        <v>46143.95781284722</v>
      </c>
      <c r="Q166">
        <f t="shared" si="12"/>
        <v>756</v>
      </c>
      <c r="R166" s="3">
        <f t="shared" si="13"/>
        <v>45626</v>
      </c>
    </row>
    <row r="167" spans="1:18" ht="29.4" thickBot="1" x14ac:dyDescent="0.35">
      <c r="A167" s="2" t="s">
        <v>295</v>
      </c>
      <c r="B167" s="4">
        <v>45623</v>
      </c>
      <c r="C167" s="2" t="s">
        <v>112</v>
      </c>
      <c r="D167" s="2" t="s">
        <v>113</v>
      </c>
      <c r="E167" s="2" t="s">
        <v>44</v>
      </c>
      <c r="F167" s="2" t="s">
        <v>45</v>
      </c>
      <c r="G167" s="2" t="s">
        <v>46</v>
      </c>
      <c r="H167" s="21">
        <v>2</v>
      </c>
      <c r="I167" s="21">
        <v>149.99</v>
      </c>
      <c r="J167" s="2" t="s">
        <v>20</v>
      </c>
      <c r="K167" s="2" t="s">
        <v>35</v>
      </c>
      <c r="L167" s="2" t="s">
        <v>36</v>
      </c>
      <c r="M167" s="4">
        <v>45101</v>
      </c>
      <c r="N167" s="5">
        <f t="shared" si="14"/>
        <v>299.98</v>
      </c>
      <c r="O167" s="3">
        <f t="shared" ca="1" si="10"/>
        <v>46143</v>
      </c>
      <c r="P167" s="8">
        <f t="shared" ca="1" si="11"/>
        <v>46143.95781284722</v>
      </c>
      <c r="Q167">
        <f t="shared" si="12"/>
        <v>522</v>
      </c>
      <c r="R167" s="3">
        <f t="shared" si="13"/>
        <v>45626</v>
      </c>
    </row>
    <row r="168" spans="1:18" ht="29.4" thickBot="1" x14ac:dyDescent="0.35">
      <c r="A168" s="2" t="s">
        <v>298</v>
      </c>
      <c r="B168" s="4">
        <v>45627</v>
      </c>
      <c r="C168" s="2" t="s">
        <v>24</v>
      </c>
      <c r="D168" s="2" t="s">
        <v>25</v>
      </c>
      <c r="E168" s="2" t="s">
        <v>52</v>
      </c>
      <c r="F168" s="2" t="s">
        <v>53</v>
      </c>
      <c r="G168" s="2" t="s">
        <v>19</v>
      </c>
      <c r="H168" s="21">
        <v>2</v>
      </c>
      <c r="I168" s="21">
        <v>149.99</v>
      </c>
      <c r="J168" s="2" t="s">
        <v>20</v>
      </c>
      <c r="K168" s="2" t="s">
        <v>35</v>
      </c>
      <c r="L168" s="2" t="s">
        <v>27</v>
      </c>
      <c r="M168" s="4">
        <v>44475</v>
      </c>
      <c r="N168" s="5">
        <f t="shared" si="14"/>
        <v>299.98</v>
      </c>
      <c r="O168" s="3">
        <f t="shared" ca="1" si="10"/>
        <v>46143</v>
      </c>
      <c r="P168" s="8">
        <f t="shared" ca="1" si="11"/>
        <v>46143.95781284722</v>
      </c>
      <c r="Q168">
        <f t="shared" si="12"/>
        <v>1152</v>
      </c>
      <c r="R168" s="3">
        <f t="shared" si="13"/>
        <v>45657</v>
      </c>
    </row>
    <row r="169" spans="1:18" ht="29.4" thickBot="1" x14ac:dyDescent="0.35">
      <c r="A169" s="2" t="s">
        <v>314</v>
      </c>
      <c r="B169" s="4">
        <v>45646</v>
      </c>
      <c r="C169" s="2" t="s">
        <v>42</v>
      </c>
      <c r="D169" s="2" t="s">
        <v>43</v>
      </c>
      <c r="E169" s="2" t="s">
        <v>44</v>
      </c>
      <c r="F169" s="2" t="s">
        <v>45</v>
      </c>
      <c r="G169" s="2" t="s">
        <v>46</v>
      </c>
      <c r="H169" s="21">
        <v>2</v>
      </c>
      <c r="I169" s="21">
        <v>149.99</v>
      </c>
      <c r="J169" s="2" t="s">
        <v>20</v>
      </c>
      <c r="K169" s="2" t="s">
        <v>35</v>
      </c>
      <c r="L169" s="2" t="s">
        <v>22</v>
      </c>
      <c r="M169" s="4">
        <v>45239</v>
      </c>
      <c r="N169" s="5">
        <f t="shared" si="14"/>
        <v>299.98</v>
      </c>
      <c r="O169" s="3">
        <f t="shared" ca="1" si="10"/>
        <v>46143</v>
      </c>
      <c r="P169" s="8">
        <f t="shared" ca="1" si="11"/>
        <v>46143.95781284722</v>
      </c>
      <c r="Q169">
        <f t="shared" si="12"/>
        <v>407</v>
      </c>
      <c r="R169" s="3">
        <f t="shared" si="13"/>
        <v>45657</v>
      </c>
    </row>
    <row r="170" spans="1:18" ht="29.4" thickBot="1" x14ac:dyDescent="0.35">
      <c r="A170" s="2" t="s">
        <v>315</v>
      </c>
      <c r="B170" s="4">
        <v>45648</v>
      </c>
      <c r="C170" s="2" t="s">
        <v>112</v>
      </c>
      <c r="D170" s="2" t="s">
        <v>113</v>
      </c>
      <c r="E170" s="2" t="s">
        <v>52</v>
      </c>
      <c r="F170" s="2" t="s">
        <v>53</v>
      </c>
      <c r="G170" s="2" t="s">
        <v>19</v>
      </c>
      <c r="H170" s="21">
        <v>2</v>
      </c>
      <c r="I170" s="21">
        <v>149.99</v>
      </c>
      <c r="J170" s="2" t="s">
        <v>57</v>
      </c>
      <c r="K170" s="2" t="s">
        <v>50</v>
      </c>
      <c r="L170" s="2" t="s">
        <v>27</v>
      </c>
      <c r="M170" s="4">
        <v>45280</v>
      </c>
      <c r="N170" s="5">
        <f t="shared" si="14"/>
        <v>299.98</v>
      </c>
      <c r="O170" s="3">
        <f t="shared" ca="1" si="10"/>
        <v>46143</v>
      </c>
      <c r="P170" s="8">
        <f t="shared" ca="1" si="11"/>
        <v>46143.95781284722</v>
      </c>
      <c r="Q170">
        <f t="shared" si="12"/>
        <v>368</v>
      </c>
      <c r="R170" s="3">
        <f t="shared" si="13"/>
        <v>45657</v>
      </c>
    </row>
    <row r="171" spans="1:18" ht="29.4" thickBot="1" x14ac:dyDescent="0.35">
      <c r="A171" s="2" t="s">
        <v>337</v>
      </c>
      <c r="B171" s="4">
        <v>45671</v>
      </c>
      <c r="C171" s="2" t="s">
        <v>120</v>
      </c>
      <c r="D171" s="2" t="s">
        <v>121</v>
      </c>
      <c r="E171" s="2" t="s">
        <v>52</v>
      </c>
      <c r="F171" s="2" t="s">
        <v>53</v>
      </c>
      <c r="G171" s="2" t="s">
        <v>19</v>
      </c>
      <c r="H171" s="21">
        <v>2</v>
      </c>
      <c r="I171" s="21">
        <v>149.99</v>
      </c>
      <c r="J171" s="2" t="s">
        <v>20</v>
      </c>
      <c r="K171" s="2" t="s">
        <v>40</v>
      </c>
      <c r="L171" s="2" t="s">
        <v>36</v>
      </c>
      <c r="M171" s="4">
        <v>44913</v>
      </c>
      <c r="N171" s="5">
        <f t="shared" si="14"/>
        <v>299.98</v>
      </c>
      <c r="O171" s="3">
        <f t="shared" ca="1" si="10"/>
        <v>46143</v>
      </c>
      <c r="P171" s="8">
        <f t="shared" ca="1" si="11"/>
        <v>46143.95781284722</v>
      </c>
      <c r="Q171">
        <f t="shared" si="12"/>
        <v>758</v>
      </c>
      <c r="R171" s="3">
        <f t="shared" si="13"/>
        <v>45688</v>
      </c>
    </row>
    <row r="172" spans="1:18" ht="29.4" thickBot="1" x14ac:dyDescent="0.35">
      <c r="A172" s="2" t="s">
        <v>358</v>
      </c>
      <c r="B172" s="4">
        <v>45705</v>
      </c>
      <c r="C172" s="2" t="s">
        <v>259</v>
      </c>
      <c r="D172" s="2" t="s">
        <v>260</v>
      </c>
      <c r="E172" s="2" t="s">
        <v>44</v>
      </c>
      <c r="F172" s="2" t="s">
        <v>45</v>
      </c>
      <c r="G172" s="2" t="s">
        <v>46</v>
      </c>
      <c r="H172" s="21">
        <v>2</v>
      </c>
      <c r="I172" s="21">
        <v>149.99</v>
      </c>
      <c r="J172" s="2" t="s">
        <v>20</v>
      </c>
      <c r="K172" s="2" t="s">
        <v>35</v>
      </c>
      <c r="L172" s="2" t="s">
        <v>27</v>
      </c>
      <c r="M172" s="4">
        <v>44728</v>
      </c>
      <c r="N172" s="5">
        <f t="shared" si="14"/>
        <v>299.98</v>
      </c>
      <c r="O172" s="3">
        <f t="shared" ca="1" si="10"/>
        <v>46143</v>
      </c>
      <c r="P172" s="8">
        <f t="shared" ca="1" si="11"/>
        <v>46143.95781284722</v>
      </c>
      <c r="Q172">
        <f t="shared" si="12"/>
        <v>977</v>
      </c>
      <c r="R172" s="3">
        <f t="shared" si="13"/>
        <v>45716</v>
      </c>
    </row>
    <row r="173" spans="1:18" ht="29.4" thickBot="1" x14ac:dyDescent="0.35">
      <c r="A173" s="2" t="s">
        <v>371</v>
      </c>
      <c r="B173" s="4">
        <v>45718</v>
      </c>
      <c r="C173" s="2" t="s">
        <v>55</v>
      </c>
      <c r="D173" s="2" t="s">
        <v>56</v>
      </c>
      <c r="E173" s="2" t="s">
        <v>44</v>
      </c>
      <c r="F173" s="2" t="s">
        <v>45</v>
      </c>
      <c r="G173" s="2" t="s">
        <v>46</v>
      </c>
      <c r="H173" s="21">
        <v>2</v>
      </c>
      <c r="I173" s="21">
        <v>149.99</v>
      </c>
      <c r="J173" s="2" t="s">
        <v>20</v>
      </c>
      <c r="K173" s="2" t="s">
        <v>21</v>
      </c>
      <c r="L173" s="2" t="s">
        <v>22</v>
      </c>
      <c r="M173" s="4">
        <v>45068</v>
      </c>
      <c r="N173" s="5">
        <f t="shared" si="14"/>
        <v>299.98</v>
      </c>
      <c r="O173" s="3">
        <f t="shared" ca="1" si="10"/>
        <v>46143</v>
      </c>
      <c r="P173" s="8">
        <f t="shared" ca="1" si="11"/>
        <v>46143.95781284722</v>
      </c>
      <c r="Q173">
        <f t="shared" si="12"/>
        <v>650</v>
      </c>
      <c r="R173" s="3">
        <f t="shared" si="13"/>
        <v>45747</v>
      </c>
    </row>
    <row r="174" spans="1:18" ht="29.4" thickBot="1" x14ac:dyDescent="0.35">
      <c r="A174" s="2" t="s">
        <v>376</v>
      </c>
      <c r="B174" s="4">
        <v>45724</v>
      </c>
      <c r="C174" s="2" t="s">
        <v>226</v>
      </c>
      <c r="D174" s="2" t="s">
        <v>227</v>
      </c>
      <c r="E174" s="2" t="s">
        <v>44</v>
      </c>
      <c r="F174" s="2" t="s">
        <v>45</v>
      </c>
      <c r="G174" s="2" t="s">
        <v>46</v>
      </c>
      <c r="H174" s="21">
        <v>2</v>
      </c>
      <c r="I174" s="21">
        <v>149.99</v>
      </c>
      <c r="J174" s="2" t="s">
        <v>34</v>
      </c>
      <c r="K174" s="2" t="s">
        <v>21</v>
      </c>
      <c r="L174" s="2" t="s">
        <v>27</v>
      </c>
      <c r="M174" s="4">
        <v>44632</v>
      </c>
      <c r="N174" s="5">
        <f t="shared" si="14"/>
        <v>299.98</v>
      </c>
      <c r="O174" s="3">
        <f t="shared" ca="1" si="10"/>
        <v>46143</v>
      </c>
      <c r="P174" s="8">
        <f t="shared" ca="1" si="11"/>
        <v>46143.95781284722</v>
      </c>
      <c r="Q174">
        <f t="shared" si="12"/>
        <v>1092</v>
      </c>
      <c r="R174" s="3">
        <f t="shared" si="13"/>
        <v>45747</v>
      </c>
    </row>
    <row r="175" spans="1:18" ht="29.4" thickBot="1" x14ac:dyDescent="0.35">
      <c r="A175" s="2" t="s">
        <v>381</v>
      </c>
      <c r="B175" s="4">
        <v>45737</v>
      </c>
      <c r="C175" s="2" t="s">
        <v>132</v>
      </c>
      <c r="D175" s="2" t="s">
        <v>133</v>
      </c>
      <c r="E175" s="2" t="s">
        <v>44</v>
      </c>
      <c r="F175" s="2" t="s">
        <v>45</v>
      </c>
      <c r="G175" s="2" t="s">
        <v>46</v>
      </c>
      <c r="H175" s="21">
        <v>2</v>
      </c>
      <c r="I175" s="21">
        <v>149.99</v>
      </c>
      <c r="J175" s="2" t="s">
        <v>20</v>
      </c>
      <c r="K175" s="2" t="s">
        <v>50</v>
      </c>
      <c r="L175" s="2" t="s">
        <v>27</v>
      </c>
      <c r="M175" s="4">
        <v>45233</v>
      </c>
      <c r="N175" s="5">
        <f t="shared" si="14"/>
        <v>299.98</v>
      </c>
      <c r="O175" s="3">
        <f t="shared" ca="1" si="10"/>
        <v>46143</v>
      </c>
      <c r="P175" s="8">
        <f t="shared" ca="1" si="11"/>
        <v>46143.95781284722</v>
      </c>
      <c r="Q175">
        <f t="shared" si="12"/>
        <v>504</v>
      </c>
      <c r="R175" s="3">
        <f t="shared" si="13"/>
        <v>45747</v>
      </c>
    </row>
    <row r="176" spans="1:18" ht="29.4" thickBot="1" x14ac:dyDescent="0.35">
      <c r="A176" s="2" t="s">
        <v>283</v>
      </c>
      <c r="B176" s="4">
        <v>45607</v>
      </c>
      <c r="C176" s="2" t="s">
        <v>15</v>
      </c>
      <c r="D176" s="2" t="s">
        <v>16</v>
      </c>
      <c r="E176" s="2" t="s">
        <v>31</v>
      </c>
      <c r="F176" s="2" t="s">
        <v>32</v>
      </c>
      <c r="G176" s="2" t="s">
        <v>33</v>
      </c>
      <c r="H176" s="21">
        <v>5</v>
      </c>
      <c r="I176" s="21">
        <v>59.99</v>
      </c>
      <c r="J176" s="2" t="s">
        <v>34</v>
      </c>
      <c r="K176" s="2" t="s">
        <v>50</v>
      </c>
      <c r="L176" s="2" t="s">
        <v>27</v>
      </c>
      <c r="M176" s="4">
        <v>44694</v>
      </c>
      <c r="N176" s="5">
        <f t="shared" si="14"/>
        <v>299.95</v>
      </c>
      <c r="O176" s="3">
        <f t="shared" ca="1" si="10"/>
        <v>46143</v>
      </c>
      <c r="P176" s="8">
        <f t="shared" ca="1" si="11"/>
        <v>46143.95781284722</v>
      </c>
      <c r="Q176">
        <f t="shared" si="12"/>
        <v>913</v>
      </c>
      <c r="R176" s="3">
        <f t="shared" si="13"/>
        <v>45626</v>
      </c>
    </row>
    <row r="177" spans="1:18" ht="29.4" thickBot="1" x14ac:dyDescent="0.35">
      <c r="A177" s="2" t="s">
        <v>342</v>
      </c>
      <c r="B177" s="4">
        <v>45676</v>
      </c>
      <c r="C177" s="2" t="s">
        <v>129</v>
      </c>
      <c r="D177" s="2" t="s">
        <v>130</v>
      </c>
      <c r="E177" s="2" t="s">
        <v>31</v>
      </c>
      <c r="F177" s="2" t="s">
        <v>32</v>
      </c>
      <c r="G177" s="2" t="s">
        <v>33</v>
      </c>
      <c r="H177" s="21">
        <v>5</v>
      </c>
      <c r="I177" s="21">
        <v>59.99</v>
      </c>
      <c r="J177" s="2" t="s">
        <v>57</v>
      </c>
      <c r="K177" s="2" t="s">
        <v>63</v>
      </c>
      <c r="L177" s="2" t="s">
        <v>22</v>
      </c>
      <c r="M177" s="4">
        <v>44642</v>
      </c>
      <c r="N177" s="5">
        <f t="shared" si="14"/>
        <v>299.95</v>
      </c>
      <c r="O177" s="3">
        <f t="shared" ca="1" si="10"/>
        <v>46143</v>
      </c>
      <c r="P177" s="8">
        <f t="shared" ca="1" si="11"/>
        <v>46143.95781284722</v>
      </c>
      <c r="Q177">
        <f t="shared" si="12"/>
        <v>1034</v>
      </c>
      <c r="R177" s="3">
        <f t="shared" si="13"/>
        <v>45688</v>
      </c>
    </row>
    <row r="178" spans="1:18" ht="29.4" thickBot="1" x14ac:dyDescent="0.35">
      <c r="A178" s="2" t="s">
        <v>354</v>
      </c>
      <c r="B178" s="4">
        <v>45696</v>
      </c>
      <c r="C178" s="2" t="s">
        <v>150</v>
      </c>
      <c r="D178" s="2" t="s">
        <v>151</v>
      </c>
      <c r="E178" s="2" t="s">
        <v>31</v>
      </c>
      <c r="F178" s="2" t="s">
        <v>32</v>
      </c>
      <c r="G178" s="2" t="s">
        <v>33</v>
      </c>
      <c r="H178" s="21">
        <v>5</v>
      </c>
      <c r="I178" s="21">
        <v>59.99</v>
      </c>
      <c r="J178" s="2" t="s">
        <v>57</v>
      </c>
      <c r="K178" s="2" t="s">
        <v>21</v>
      </c>
      <c r="L178" s="2" t="s">
        <v>36</v>
      </c>
      <c r="M178" s="4">
        <v>45177</v>
      </c>
      <c r="N178" s="5">
        <f t="shared" si="14"/>
        <v>299.95</v>
      </c>
      <c r="O178" s="3">
        <f t="shared" ca="1" si="10"/>
        <v>46143</v>
      </c>
      <c r="P178" s="8">
        <f t="shared" ca="1" si="11"/>
        <v>46143.95781284722</v>
      </c>
      <c r="Q178">
        <f t="shared" si="12"/>
        <v>519</v>
      </c>
      <c r="R178" s="3">
        <f t="shared" si="13"/>
        <v>45716</v>
      </c>
    </row>
    <row r="179" spans="1:18" ht="29.4" thickBot="1" x14ac:dyDescent="0.35">
      <c r="A179" s="2" t="s">
        <v>373</v>
      </c>
      <c r="B179" s="4">
        <v>45721</v>
      </c>
      <c r="C179" s="2" t="s">
        <v>75</v>
      </c>
      <c r="D179" s="2" t="s">
        <v>76</v>
      </c>
      <c r="E179" s="2" t="s">
        <v>31</v>
      </c>
      <c r="F179" s="2" t="s">
        <v>32</v>
      </c>
      <c r="G179" s="2" t="s">
        <v>33</v>
      </c>
      <c r="H179" s="21">
        <v>5</v>
      </c>
      <c r="I179" s="21">
        <v>59.99</v>
      </c>
      <c r="J179" s="2" t="s">
        <v>20</v>
      </c>
      <c r="K179" s="2" t="s">
        <v>50</v>
      </c>
      <c r="L179" s="2" t="s">
        <v>27</v>
      </c>
      <c r="M179" s="4">
        <v>45291</v>
      </c>
      <c r="N179" s="5">
        <f t="shared" si="14"/>
        <v>299.95</v>
      </c>
      <c r="O179" s="3">
        <f t="shared" ca="1" si="10"/>
        <v>46143</v>
      </c>
      <c r="P179" s="8">
        <f t="shared" ca="1" si="11"/>
        <v>46143.95781284722</v>
      </c>
      <c r="Q179">
        <f t="shared" si="12"/>
        <v>430</v>
      </c>
      <c r="R179" s="3">
        <f t="shared" si="13"/>
        <v>45747</v>
      </c>
    </row>
    <row r="180" spans="1:18" ht="29.4" thickBot="1" x14ac:dyDescent="0.35">
      <c r="A180" s="2" t="s">
        <v>143</v>
      </c>
      <c r="B180" s="4">
        <v>45441</v>
      </c>
      <c r="C180" s="2" t="s">
        <v>144</v>
      </c>
      <c r="D180" s="2" t="s">
        <v>145</v>
      </c>
      <c r="E180" s="2" t="s">
        <v>117</v>
      </c>
      <c r="F180" s="2" t="s">
        <v>118</v>
      </c>
      <c r="G180" s="2" t="s">
        <v>19</v>
      </c>
      <c r="H180" s="21">
        <v>3</v>
      </c>
      <c r="I180" s="21">
        <v>89.99</v>
      </c>
      <c r="J180" s="2" t="s">
        <v>34</v>
      </c>
      <c r="K180" s="2" t="s">
        <v>21</v>
      </c>
      <c r="L180" s="2" t="s">
        <v>27</v>
      </c>
      <c r="M180" s="4">
        <v>45120</v>
      </c>
      <c r="N180" s="5">
        <f t="shared" si="14"/>
        <v>269.96999999999997</v>
      </c>
      <c r="O180" s="3">
        <f t="shared" ca="1" si="10"/>
        <v>46143</v>
      </c>
      <c r="P180" s="8">
        <f t="shared" ca="1" si="11"/>
        <v>46143.95781284722</v>
      </c>
      <c r="Q180">
        <f t="shared" si="12"/>
        <v>321</v>
      </c>
      <c r="R180" s="3">
        <f t="shared" si="13"/>
        <v>45443</v>
      </c>
    </row>
    <row r="181" spans="1:18" ht="29.4" thickBot="1" x14ac:dyDescent="0.35">
      <c r="A181" s="2" t="s">
        <v>272</v>
      </c>
      <c r="B181" s="4">
        <v>45586</v>
      </c>
      <c r="C181" s="2" t="s">
        <v>226</v>
      </c>
      <c r="D181" s="2" t="s">
        <v>227</v>
      </c>
      <c r="E181" s="2" t="s">
        <v>117</v>
      </c>
      <c r="F181" s="2" t="s">
        <v>118</v>
      </c>
      <c r="G181" s="2" t="s">
        <v>19</v>
      </c>
      <c r="H181" s="21">
        <v>3</v>
      </c>
      <c r="I181" s="21">
        <v>89.99</v>
      </c>
      <c r="J181" s="2" t="s">
        <v>34</v>
      </c>
      <c r="K181" s="2" t="s">
        <v>21</v>
      </c>
      <c r="L181" s="2" t="s">
        <v>22</v>
      </c>
      <c r="M181" s="4">
        <v>44551</v>
      </c>
      <c r="N181" s="5">
        <f t="shared" si="14"/>
        <v>269.96999999999997</v>
      </c>
      <c r="O181" s="3">
        <f t="shared" ca="1" si="10"/>
        <v>46143</v>
      </c>
      <c r="P181" s="8">
        <f t="shared" ca="1" si="11"/>
        <v>46143.95781284722</v>
      </c>
      <c r="Q181">
        <f t="shared" si="12"/>
        <v>1035</v>
      </c>
      <c r="R181" s="3">
        <f t="shared" si="13"/>
        <v>45596</v>
      </c>
    </row>
    <row r="182" spans="1:18" ht="29.4" thickBot="1" x14ac:dyDescent="0.35">
      <c r="A182" s="2" t="s">
        <v>276</v>
      </c>
      <c r="B182" s="4">
        <v>45592</v>
      </c>
      <c r="C182" s="2" t="s">
        <v>171</v>
      </c>
      <c r="D182" s="2" t="s">
        <v>172</v>
      </c>
      <c r="E182" s="2" t="s">
        <v>117</v>
      </c>
      <c r="F182" s="2" t="s">
        <v>118</v>
      </c>
      <c r="G182" s="2" t="s">
        <v>19</v>
      </c>
      <c r="H182" s="21">
        <v>3</v>
      </c>
      <c r="I182" s="21">
        <v>89.99</v>
      </c>
      <c r="J182" s="2" t="s">
        <v>26</v>
      </c>
      <c r="K182" s="2" t="s">
        <v>40</v>
      </c>
      <c r="L182" s="2" t="s">
        <v>36</v>
      </c>
      <c r="M182" s="4">
        <v>44615</v>
      </c>
      <c r="N182" s="5">
        <f t="shared" si="14"/>
        <v>269.96999999999997</v>
      </c>
      <c r="O182" s="3">
        <f t="shared" ca="1" si="10"/>
        <v>46143</v>
      </c>
      <c r="P182" s="8">
        <f t="shared" ca="1" si="11"/>
        <v>46143.95781284722</v>
      </c>
      <c r="Q182">
        <f t="shared" si="12"/>
        <v>977</v>
      </c>
      <c r="R182" s="3">
        <f t="shared" si="13"/>
        <v>45596</v>
      </c>
    </row>
    <row r="183" spans="1:18" ht="29.4" thickBot="1" x14ac:dyDescent="0.35">
      <c r="A183" s="2" t="s">
        <v>279</v>
      </c>
      <c r="B183" s="4">
        <v>45603</v>
      </c>
      <c r="C183" s="2" t="s">
        <v>99</v>
      </c>
      <c r="D183" s="2" t="s">
        <v>100</v>
      </c>
      <c r="E183" s="2" t="s">
        <v>117</v>
      </c>
      <c r="F183" s="2" t="s">
        <v>118</v>
      </c>
      <c r="G183" s="2" t="s">
        <v>19</v>
      </c>
      <c r="H183" s="21">
        <v>3</v>
      </c>
      <c r="I183" s="21">
        <v>89.99</v>
      </c>
      <c r="J183" s="2" t="s">
        <v>26</v>
      </c>
      <c r="K183" s="2" t="s">
        <v>40</v>
      </c>
      <c r="L183" s="2" t="s">
        <v>27</v>
      </c>
      <c r="M183" s="4">
        <v>44420</v>
      </c>
      <c r="N183" s="5">
        <f t="shared" si="14"/>
        <v>269.96999999999997</v>
      </c>
      <c r="O183" s="3">
        <f t="shared" ca="1" si="10"/>
        <v>46143</v>
      </c>
      <c r="P183" s="8">
        <f t="shared" ca="1" si="11"/>
        <v>46143.95781284722</v>
      </c>
      <c r="Q183">
        <f t="shared" si="12"/>
        <v>1183</v>
      </c>
      <c r="R183" s="3">
        <f t="shared" si="13"/>
        <v>45626</v>
      </c>
    </row>
    <row r="184" spans="1:18" ht="29.4" thickBot="1" x14ac:dyDescent="0.35">
      <c r="A184" s="2" t="s">
        <v>350</v>
      </c>
      <c r="B184" s="4">
        <v>45688</v>
      </c>
      <c r="C184" s="2" t="s">
        <v>42</v>
      </c>
      <c r="D184" s="2" t="s">
        <v>43</v>
      </c>
      <c r="E184" s="2" t="s">
        <v>117</v>
      </c>
      <c r="F184" s="2" t="s">
        <v>118</v>
      </c>
      <c r="G184" s="2" t="s">
        <v>19</v>
      </c>
      <c r="H184" s="21">
        <v>3</v>
      </c>
      <c r="I184" s="21">
        <v>89.99</v>
      </c>
      <c r="J184" s="2" t="s">
        <v>57</v>
      </c>
      <c r="K184" s="2" t="s">
        <v>35</v>
      </c>
      <c r="L184" s="2" t="s">
        <v>27</v>
      </c>
      <c r="M184" s="4">
        <v>45307</v>
      </c>
      <c r="N184" s="5">
        <f t="shared" si="14"/>
        <v>269.96999999999997</v>
      </c>
      <c r="O184" s="3">
        <f t="shared" ca="1" si="10"/>
        <v>46143</v>
      </c>
      <c r="P184" s="8">
        <f t="shared" ca="1" si="11"/>
        <v>46143.95781284722</v>
      </c>
      <c r="Q184">
        <f t="shared" si="12"/>
        <v>381</v>
      </c>
      <c r="R184" s="3">
        <f t="shared" si="13"/>
        <v>45688</v>
      </c>
    </row>
    <row r="185" spans="1:18" ht="29.4" thickBot="1" x14ac:dyDescent="0.35">
      <c r="A185" s="2" t="s">
        <v>398</v>
      </c>
      <c r="B185" s="4">
        <v>45758</v>
      </c>
      <c r="C185" s="2" t="s">
        <v>138</v>
      </c>
      <c r="D185" s="2" t="s">
        <v>139</v>
      </c>
      <c r="E185" s="2" t="s">
        <v>117</v>
      </c>
      <c r="F185" s="2" t="s">
        <v>118</v>
      </c>
      <c r="G185" s="2" t="s">
        <v>19</v>
      </c>
      <c r="H185" s="21">
        <v>3</v>
      </c>
      <c r="I185" s="21">
        <v>89.99</v>
      </c>
      <c r="J185" s="2" t="s">
        <v>57</v>
      </c>
      <c r="K185" s="2" t="s">
        <v>40</v>
      </c>
      <c r="L185" s="2" t="s">
        <v>27</v>
      </c>
      <c r="M185" s="4">
        <v>44878</v>
      </c>
      <c r="N185" s="5">
        <f t="shared" si="14"/>
        <v>269.96999999999997</v>
      </c>
      <c r="O185" s="3">
        <f t="shared" ca="1" si="10"/>
        <v>46143</v>
      </c>
      <c r="P185" s="8">
        <f t="shared" ca="1" si="11"/>
        <v>46143.95781284722</v>
      </c>
      <c r="Q185">
        <f t="shared" si="12"/>
        <v>880</v>
      </c>
      <c r="R185" s="3">
        <f t="shared" si="13"/>
        <v>45777</v>
      </c>
    </row>
    <row r="186" spans="1:18" ht="29.4" thickBot="1" x14ac:dyDescent="0.35">
      <c r="A186" s="2" t="s">
        <v>236</v>
      </c>
      <c r="B186" s="4">
        <v>45537</v>
      </c>
      <c r="C186" s="2" t="s">
        <v>231</v>
      </c>
      <c r="D186" s="2" t="s">
        <v>232</v>
      </c>
      <c r="E186" s="2" t="s">
        <v>17</v>
      </c>
      <c r="F186" s="2" t="s">
        <v>18</v>
      </c>
      <c r="G186" s="2" t="s">
        <v>19</v>
      </c>
      <c r="H186" s="21">
        <v>1</v>
      </c>
      <c r="I186" s="21">
        <v>249.99</v>
      </c>
      <c r="J186" s="2" t="s">
        <v>26</v>
      </c>
      <c r="K186" s="2" t="s">
        <v>50</v>
      </c>
      <c r="L186" s="2" t="s">
        <v>27</v>
      </c>
      <c r="M186" s="4">
        <v>44685</v>
      </c>
      <c r="N186" s="5">
        <f t="shared" si="14"/>
        <v>249.99</v>
      </c>
      <c r="O186" s="3">
        <f t="shared" ca="1" si="10"/>
        <v>46143</v>
      </c>
      <c r="P186" s="8">
        <f t="shared" ca="1" si="11"/>
        <v>46143.95781284722</v>
      </c>
      <c r="Q186">
        <f t="shared" si="12"/>
        <v>852</v>
      </c>
      <c r="R186" s="3">
        <f t="shared" si="13"/>
        <v>45565</v>
      </c>
    </row>
    <row r="187" spans="1:18" ht="29.4" thickBot="1" x14ac:dyDescent="0.35">
      <c r="A187" s="2" t="s">
        <v>237</v>
      </c>
      <c r="B187" s="4">
        <v>45537</v>
      </c>
      <c r="C187" s="2" t="s">
        <v>15</v>
      </c>
      <c r="D187" s="2" t="s">
        <v>16</v>
      </c>
      <c r="E187" s="2" t="s">
        <v>17</v>
      </c>
      <c r="F187" s="2" t="s">
        <v>18</v>
      </c>
      <c r="G187" s="2" t="s">
        <v>19</v>
      </c>
      <c r="H187" s="21">
        <v>1</v>
      </c>
      <c r="I187" s="21">
        <v>249.99</v>
      </c>
      <c r="J187" s="2" t="s">
        <v>57</v>
      </c>
      <c r="K187" s="2" t="s">
        <v>40</v>
      </c>
      <c r="L187" s="2" t="s">
        <v>27</v>
      </c>
      <c r="M187" s="4">
        <v>45332</v>
      </c>
      <c r="N187" s="5">
        <f t="shared" si="14"/>
        <v>249.99</v>
      </c>
      <c r="O187" s="3">
        <f t="shared" ca="1" si="10"/>
        <v>46143</v>
      </c>
      <c r="P187" s="8">
        <f t="shared" ca="1" si="11"/>
        <v>46143.95781284722</v>
      </c>
      <c r="Q187">
        <f t="shared" si="12"/>
        <v>205</v>
      </c>
      <c r="R187" s="3">
        <f t="shared" si="13"/>
        <v>45565</v>
      </c>
    </row>
    <row r="188" spans="1:18" ht="29.4" thickBot="1" x14ac:dyDescent="0.35">
      <c r="A188" s="2" t="s">
        <v>281</v>
      </c>
      <c r="B188" s="4">
        <v>45605</v>
      </c>
      <c r="C188" s="2" t="s">
        <v>185</v>
      </c>
      <c r="D188" s="2" t="s">
        <v>186</v>
      </c>
      <c r="E188" s="2" t="s">
        <v>17</v>
      </c>
      <c r="F188" s="2" t="s">
        <v>18</v>
      </c>
      <c r="G188" s="2" t="s">
        <v>19</v>
      </c>
      <c r="H188" s="21">
        <v>1</v>
      </c>
      <c r="I188" s="21">
        <v>249.99</v>
      </c>
      <c r="J188" s="2" t="s">
        <v>26</v>
      </c>
      <c r="K188" s="2" t="s">
        <v>40</v>
      </c>
      <c r="L188" s="2" t="s">
        <v>27</v>
      </c>
      <c r="M188" s="4">
        <v>44828</v>
      </c>
      <c r="N188" s="5">
        <f t="shared" si="14"/>
        <v>249.99</v>
      </c>
      <c r="O188" s="3">
        <f t="shared" ca="1" si="10"/>
        <v>46143</v>
      </c>
      <c r="P188" s="8">
        <f t="shared" ca="1" si="11"/>
        <v>46143.95781284722</v>
      </c>
      <c r="Q188">
        <f t="shared" si="12"/>
        <v>777</v>
      </c>
      <c r="R188" s="3">
        <f t="shared" si="13"/>
        <v>45626</v>
      </c>
    </row>
    <row r="189" spans="1:18" ht="29.4" thickBot="1" x14ac:dyDescent="0.35">
      <c r="A189" s="2" t="s">
        <v>379</v>
      </c>
      <c r="B189" s="4">
        <v>45726</v>
      </c>
      <c r="C189" s="2" t="s">
        <v>144</v>
      </c>
      <c r="D189" s="2" t="s">
        <v>145</v>
      </c>
      <c r="E189" s="2" t="s">
        <v>17</v>
      </c>
      <c r="F189" s="2" t="s">
        <v>18</v>
      </c>
      <c r="G189" s="2" t="s">
        <v>19</v>
      </c>
      <c r="H189" s="21">
        <v>1</v>
      </c>
      <c r="I189" s="21">
        <v>249.99</v>
      </c>
      <c r="J189" s="2" t="s">
        <v>20</v>
      </c>
      <c r="K189" s="2" t="s">
        <v>40</v>
      </c>
      <c r="L189" s="2" t="s">
        <v>36</v>
      </c>
      <c r="M189" s="4">
        <v>45117</v>
      </c>
      <c r="N189" s="5">
        <f t="shared" si="14"/>
        <v>249.99</v>
      </c>
      <c r="O189" s="3">
        <f t="shared" ca="1" si="10"/>
        <v>46143</v>
      </c>
      <c r="P189" s="8">
        <f t="shared" ca="1" si="11"/>
        <v>46143.95781284722</v>
      </c>
      <c r="Q189">
        <f t="shared" si="12"/>
        <v>609</v>
      </c>
      <c r="R189" s="3">
        <f t="shared" si="13"/>
        <v>45747</v>
      </c>
    </row>
    <row r="190" spans="1:18" ht="29.4" thickBot="1" x14ac:dyDescent="0.35">
      <c r="A190" s="2" t="s">
        <v>111</v>
      </c>
      <c r="B190" s="4">
        <v>45424</v>
      </c>
      <c r="C190" s="2" t="s">
        <v>112</v>
      </c>
      <c r="D190" s="2" t="s">
        <v>113</v>
      </c>
      <c r="E190" s="2" t="s">
        <v>114</v>
      </c>
      <c r="F190" s="2" t="s">
        <v>115</v>
      </c>
      <c r="G190" s="2" t="s">
        <v>33</v>
      </c>
      <c r="H190" s="21">
        <v>3</v>
      </c>
      <c r="I190" s="21">
        <v>79.989999999999995</v>
      </c>
      <c r="J190" s="2" t="s">
        <v>34</v>
      </c>
      <c r="K190" s="2" t="s">
        <v>63</v>
      </c>
      <c r="L190" s="2" t="s">
        <v>27</v>
      </c>
      <c r="M190" s="4">
        <v>45012</v>
      </c>
      <c r="N190" s="5">
        <f t="shared" si="14"/>
        <v>239.96999999999997</v>
      </c>
      <c r="O190" s="3">
        <f t="shared" ca="1" si="10"/>
        <v>46143</v>
      </c>
      <c r="P190" s="8">
        <f t="shared" ca="1" si="11"/>
        <v>46143.95781284722</v>
      </c>
      <c r="Q190">
        <f t="shared" si="12"/>
        <v>412</v>
      </c>
      <c r="R190" s="3">
        <f t="shared" si="13"/>
        <v>45443</v>
      </c>
    </row>
    <row r="191" spans="1:18" ht="29.4" thickBot="1" x14ac:dyDescent="0.35">
      <c r="A191" s="2" t="s">
        <v>136</v>
      </c>
      <c r="B191" s="4">
        <v>45435</v>
      </c>
      <c r="C191" s="2" t="s">
        <v>129</v>
      </c>
      <c r="D191" s="2" t="s">
        <v>130</v>
      </c>
      <c r="E191" s="2" t="s">
        <v>114</v>
      </c>
      <c r="F191" s="2" t="s">
        <v>115</v>
      </c>
      <c r="G191" s="2" t="s">
        <v>33</v>
      </c>
      <c r="H191" s="21">
        <v>3</v>
      </c>
      <c r="I191" s="21">
        <v>79.989999999999995</v>
      </c>
      <c r="J191" s="2" t="s">
        <v>20</v>
      </c>
      <c r="K191" s="2" t="s">
        <v>35</v>
      </c>
      <c r="L191" s="2" t="s">
        <v>22</v>
      </c>
      <c r="M191" s="4">
        <v>45046</v>
      </c>
      <c r="N191" s="5">
        <f t="shared" si="14"/>
        <v>239.96999999999997</v>
      </c>
      <c r="O191" s="3">
        <f t="shared" ca="1" si="10"/>
        <v>46143</v>
      </c>
      <c r="P191" s="8">
        <f t="shared" ca="1" si="11"/>
        <v>46143.95781284722</v>
      </c>
      <c r="Q191">
        <f t="shared" si="12"/>
        <v>389</v>
      </c>
      <c r="R191" s="3">
        <f t="shared" si="13"/>
        <v>45443</v>
      </c>
    </row>
    <row r="192" spans="1:18" ht="29.4" thickBot="1" x14ac:dyDescent="0.35">
      <c r="A192" s="2" t="s">
        <v>225</v>
      </c>
      <c r="B192" s="4">
        <v>45528</v>
      </c>
      <c r="C192" s="2" t="s">
        <v>226</v>
      </c>
      <c r="D192" s="2" t="s">
        <v>227</v>
      </c>
      <c r="E192" s="2" t="s">
        <v>114</v>
      </c>
      <c r="F192" s="2" t="s">
        <v>115</v>
      </c>
      <c r="G192" s="2" t="s">
        <v>33</v>
      </c>
      <c r="H192" s="21">
        <v>3</v>
      </c>
      <c r="I192" s="21">
        <v>79.989999999999995</v>
      </c>
      <c r="J192" s="2" t="s">
        <v>20</v>
      </c>
      <c r="K192" s="2" t="s">
        <v>21</v>
      </c>
      <c r="L192" s="2" t="s">
        <v>27</v>
      </c>
      <c r="M192" s="4">
        <v>44779</v>
      </c>
      <c r="N192" s="5">
        <f t="shared" si="14"/>
        <v>239.96999999999997</v>
      </c>
      <c r="O192" s="3">
        <f t="shared" ca="1" si="10"/>
        <v>46143</v>
      </c>
      <c r="P192" s="8">
        <f t="shared" ca="1" si="11"/>
        <v>46143.95781284722</v>
      </c>
      <c r="Q192">
        <f t="shared" si="12"/>
        <v>749</v>
      </c>
      <c r="R192" s="3">
        <f t="shared" si="13"/>
        <v>45535</v>
      </c>
    </row>
    <row r="193" spans="1:18" ht="29.4" thickBot="1" x14ac:dyDescent="0.35">
      <c r="A193" s="2" t="s">
        <v>307</v>
      </c>
      <c r="B193" s="4">
        <v>45636</v>
      </c>
      <c r="C193" s="2" t="s">
        <v>120</v>
      </c>
      <c r="D193" s="2" t="s">
        <v>121</v>
      </c>
      <c r="E193" s="2" t="s">
        <v>114</v>
      </c>
      <c r="F193" s="2" t="s">
        <v>115</v>
      </c>
      <c r="G193" s="2" t="s">
        <v>33</v>
      </c>
      <c r="H193" s="21">
        <v>3</v>
      </c>
      <c r="I193" s="21">
        <v>79.989999999999995</v>
      </c>
      <c r="J193" s="2" t="s">
        <v>57</v>
      </c>
      <c r="K193" s="2" t="s">
        <v>63</v>
      </c>
      <c r="L193" s="2" t="s">
        <v>36</v>
      </c>
      <c r="M193" s="4">
        <v>44779</v>
      </c>
      <c r="N193" s="5">
        <f t="shared" si="14"/>
        <v>239.96999999999997</v>
      </c>
      <c r="O193" s="3">
        <f t="shared" ca="1" si="10"/>
        <v>46143</v>
      </c>
      <c r="P193" s="8">
        <f t="shared" ca="1" si="11"/>
        <v>46143.95781284722</v>
      </c>
      <c r="Q193">
        <f t="shared" si="12"/>
        <v>857</v>
      </c>
      <c r="R193" s="3">
        <f t="shared" si="13"/>
        <v>45657</v>
      </c>
    </row>
    <row r="194" spans="1:18" ht="29.4" thickBot="1" x14ac:dyDescent="0.35">
      <c r="A194" s="2" t="s">
        <v>355</v>
      </c>
      <c r="B194" s="4">
        <v>45701</v>
      </c>
      <c r="C194" s="2" t="s">
        <v>108</v>
      </c>
      <c r="D194" s="2" t="s">
        <v>109</v>
      </c>
      <c r="E194" s="2" t="s">
        <v>114</v>
      </c>
      <c r="F194" s="2" t="s">
        <v>115</v>
      </c>
      <c r="G194" s="2" t="s">
        <v>33</v>
      </c>
      <c r="H194" s="21">
        <v>3</v>
      </c>
      <c r="I194" s="21">
        <v>79.989999999999995</v>
      </c>
      <c r="J194" s="2" t="s">
        <v>20</v>
      </c>
      <c r="K194" s="2" t="s">
        <v>63</v>
      </c>
      <c r="L194" s="2" t="s">
        <v>27</v>
      </c>
      <c r="M194" s="4">
        <v>44436</v>
      </c>
      <c r="N194" s="5">
        <f t="shared" si="14"/>
        <v>239.96999999999997</v>
      </c>
      <c r="O194" s="3">
        <f t="shared" ref="O194:O251" ca="1" si="15">TODAY()</f>
        <v>46143</v>
      </c>
      <c r="P194" s="8">
        <f t="shared" ref="P194:P251" ca="1" si="16">NOW()</f>
        <v>46143.95781284722</v>
      </c>
      <c r="Q194">
        <f t="shared" ref="Q194:Q251" si="17">DATEDIF(M194,B194,"D")</f>
        <v>1265</v>
      </c>
      <c r="R194" s="3">
        <f t="shared" ref="R194:R251" si="18">EOMONTH(B194,0)</f>
        <v>45716</v>
      </c>
    </row>
    <row r="195" spans="1:18" ht="29.4" thickBot="1" x14ac:dyDescent="0.35">
      <c r="A195" s="2" t="s">
        <v>394</v>
      </c>
      <c r="B195" s="4">
        <v>45755</v>
      </c>
      <c r="C195" s="2" t="s">
        <v>93</v>
      </c>
      <c r="D195" s="2" t="s">
        <v>94</v>
      </c>
      <c r="E195" s="2" t="s">
        <v>114</v>
      </c>
      <c r="F195" s="2" t="s">
        <v>115</v>
      </c>
      <c r="G195" s="2" t="s">
        <v>33</v>
      </c>
      <c r="H195" s="21">
        <v>3</v>
      </c>
      <c r="I195" s="21">
        <v>79.989999999999995</v>
      </c>
      <c r="J195" s="2" t="s">
        <v>26</v>
      </c>
      <c r="K195" s="2" t="s">
        <v>40</v>
      </c>
      <c r="L195" s="2" t="s">
        <v>22</v>
      </c>
      <c r="M195" s="4">
        <v>44511</v>
      </c>
      <c r="N195" s="5">
        <f t="shared" ref="N195:N251" si="19">I195*H195</f>
        <v>239.96999999999997</v>
      </c>
      <c r="O195" s="3">
        <f t="shared" ca="1" si="15"/>
        <v>46143</v>
      </c>
      <c r="P195" s="8">
        <f t="shared" ca="1" si="16"/>
        <v>46143.95781284722</v>
      </c>
      <c r="Q195">
        <f t="shared" si="17"/>
        <v>1244</v>
      </c>
      <c r="R195" s="3">
        <f t="shared" si="18"/>
        <v>45777</v>
      </c>
    </row>
    <row r="196" spans="1:18" ht="29.4" thickBot="1" x14ac:dyDescent="0.35">
      <c r="A196" s="2" t="s">
        <v>122</v>
      </c>
      <c r="B196" s="4">
        <v>45427</v>
      </c>
      <c r="C196" s="2" t="s">
        <v>123</v>
      </c>
      <c r="D196" s="2" t="s">
        <v>124</v>
      </c>
      <c r="E196" s="2" t="s">
        <v>31</v>
      </c>
      <c r="F196" s="2" t="s">
        <v>32</v>
      </c>
      <c r="G196" s="2" t="s">
        <v>33</v>
      </c>
      <c r="H196" s="21">
        <v>4</v>
      </c>
      <c r="I196" s="21">
        <v>59.99</v>
      </c>
      <c r="J196" s="2" t="s">
        <v>57</v>
      </c>
      <c r="K196" s="2" t="s">
        <v>63</v>
      </c>
      <c r="L196" s="2" t="s">
        <v>36</v>
      </c>
      <c r="M196" s="4">
        <v>44867</v>
      </c>
      <c r="N196" s="5">
        <f t="shared" si="19"/>
        <v>239.96</v>
      </c>
      <c r="O196" s="3">
        <f t="shared" ca="1" si="15"/>
        <v>46143</v>
      </c>
      <c r="P196" s="8">
        <f t="shared" ca="1" si="16"/>
        <v>46143.95781284722</v>
      </c>
      <c r="Q196">
        <f t="shared" si="17"/>
        <v>560</v>
      </c>
      <c r="R196" s="3">
        <f t="shared" si="18"/>
        <v>45443</v>
      </c>
    </row>
    <row r="197" spans="1:18" ht="29.4" thickBot="1" x14ac:dyDescent="0.35">
      <c r="A197" s="2" t="s">
        <v>161</v>
      </c>
      <c r="B197" s="4">
        <v>45452</v>
      </c>
      <c r="C197" s="2" t="s">
        <v>162</v>
      </c>
      <c r="D197" s="2" t="s">
        <v>163</v>
      </c>
      <c r="E197" s="2" t="s">
        <v>31</v>
      </c>
      <c r="F197" s="2" t="s">
        <v>32</v>
      </c>
      <c r="G197" s="2" t="s">
        <v>33</v>
      </c>
      <c r="H197" s="21">
        <v>4</v>
      </c>
      <c r="I197" s="21">
        <v>59.99</v>
      </c>
      <c r="J197" s="2" t="s">
        <v>20</v>
      </c>
      <c r="K197" s="2" t="s">
        <v>63</v>
      </c>
      <c r="L197" s="2" t="s">
        <v>36</v>
      </c>
      <c r="M197" s="4">
        <v>44435</v>
      </c>
      <c r="N197" s="5">
        <f t="shared" si="19"/>
        <v>239.96</v>
      </c>
      <c r="O197" s="3">
        <f t="shared" ca="1" si="15"/>
        <v>46143</v>
      </c>
      <c r="P197" s="8">
        <f t="shared" ca="1" si="16"/>
        <v>46143.95781284722</v>
      </c>
      <c r="Q197">
        <f t="shared" si="17"/>
        <v>1017</v>
      </c>
      <c r="R197" s="3">
        <f t="shared" si="18"/>
        <v>45473</v>
      </c>
    </row>
    <row r="198" spans="1:18" ht="29.4" thickBot="1" x14ac:dyDescent="0.35">
      <c r="A198" s="2" t="s">
        <v>189</v>
      </c>
      <c r="B198" s="4">
        <v>45482</v>
      </c>
      <c r="C198" s="2" t="s">
        <v>171</v>
      </c>
      <c r="D198" s="2" t="s">
        <v>172</v>
      </c>
      <c r="E198" s="2" t="s">
        <v>31</v>
      </c>
      <c r="F198" s="2" t="s">
        <v>32</v>
      </c>
      <c r="G198" s="2" t="s">
        <v>33</v>
      </c>
      <c r="H198" s="21">
        <v>4</v>
      </c>
      <c r="I198" s="21">
        <v>59.99</v>
      </c>
      <c r="J198" s="2" t="s">
        <v>20</v>
      </c>
      <c r="K198" s="2" t="s">
        <v>35</v>
      </c>
      <c r="L198" s="2" t="s">
        <v>36</v>
      </c>
      <c r="M198" s="4">
        <v>44509</v>
      </c>
      <c r="N198" s="5">
        <f t="shared" si="19"/>
        <v>239.96</v>
      </c>
      <c r="O198" s="3">
        <f t="shared" ca="1" si="15"/>
        <v>46143</v>
      </c>
      <c r="P198" s="8">
        <f t="shared" ca="1" si="16"/>
        <v>46143.95781284722</v>
      </c>
      <c r="Q198">
        <f t="shared" si="17"/>
        <v>973</v>
      </c>
      <c r="R198" s="3">
        <f t="shared" si="18"/>
        <v>45504</v>
      </c>
    </row>
    <row r="199" spans="1:18" ht="29.4" thickBot="1" x14ac:dyDescent="0.35">
      <c r="A199" s="2" t="s">
        <v>343</v>
      </c>
      <c r="B199" s="4">
        <v>45682</v>
      </c>
      <c r="C199" s="2" t="s">
        <v>68</v>
      </c>
      <c r="D199" s="2" t="s">
        <v>69</v>
      </c>
      <c r="E199" s="2" t="s">
        <v>31</v>
      </c>
      <c r="F199" s="2" t="s">
        <v>32</v>
      </c>
      <c r="G199" s="2" t="s">
        <v>33</v>
      </c>
      <c r="H199" s="21">
        <v>4</v>
      </c>
      <c r="I199" s="21">
        <v>59.99</v>
      </c>
      <c r="J199" s="2" t="s">
        <v>57</v>
      </c>
      <c r="K199" s="2" t="s">
        <v>63</v>
      </c>
      <c r="L199" s="2" t="s">
        <v>36</v>
      </c>
      <c r="M199" s="4">
        <v>44564</v>
      </c>
      <c r="N199" s="5">
        <f t="shared" si="19"/>
        <v>239.96</v>
      </c>
      <c r="O199" s="3">
        <f t="shared" ca="1" si="15"/>
        <v>46143</v>
      </c>
      <c r="P199" s="8">
        <f t="shared" ca="1" si="16"/>
        <v>46143.95781284722</v>
      </c>
      <c r="Q199">
        <f t="shared" si="17"/>
        <v>1118</v>
      </c>
      <c r="R199" s="3">
        <f t="shared" si="18"/>
        <v>45688</v>
      </c>
    </row>
    <row r="200" spans="1:18" ht="29.4" thickBot="1" x14ac:dyDescent="0.35">
      <c r="A200" s="2" t="s">
        <v>369</v>
      </c>
      <c r="B200" s="4">
        <v>45715</v>
      </c>
      <c r="C200" s="2" t="s">
        <v>259</v>
      </c>
      <c r="D200" s="2" t="s">
        <v>260</v>
      </c>
      <c r="E200" s="2" t="s">
        <v>31</v>
      </c>
      <c r="F200" s="2" t="s">
        <v>32</v>
      </c>
      <c r="G200" s="2" t="s">
        <v>33</v>
      </c>
      <c r="H200" s="21">
        <v>4</v>
      </c>
      <c r="I200" s="21">
        <v>59.99</v>
      </c>
      <c r="J200" s="2" t="s">
        <v>20</v>
      </c>
      <c r="K200" s="2" t="s">
        <v>50</v>
      </c>
      <c r="L200" s="2" t="s">
        <v>36</v>
      </c>
      <c r="M200" s="4">
        <v>45070</v>
      </c>
      <c r="N200" s="5">
        <f t="shared" si="19"/>
        <v>239.96</v>
      </c>
      <c r="O200" s="3">
        <f t="shared" ca="1" si="15"/>
        <v>46143</v>
      </c>
      <c r="P200" s="8">
        <f t="shared" ca="1" si="16"/>
        <v>46143.95781284722</v>
      </c>
      <c r="Q200">
        <f t="shared" si="17"/>
        <v>645</v>
      </c>
      <c r="R200" s="3">
        <f t="shared" si="18"/>
        <v>45716</v>
      </c>
    </row>
    <row r="201" spans="1:18" ht="29.4" thickBot="1" x14ac:dyDescent="0.35">
      <c r="A201" s="2" t="s">
        <v>258</v>
      </c>
      <c r="B201" s="4">
        <v>45564</v>
      </c>
      <c r="C201" s="2" t="s">
        <v>259</v>
      </c>
      <c r="D201" s="2" t="s">
        <v>260</v>
      </c>
      <c r="E201" s="2" t="s">
        <v>126</v>
      </c>
      <c r="F201" s="2" t="s">
        <v>127</v>
      </c>
      <c r="G201" s="2" t="s">
        <v>46</v>
      </c>
      <c r="H201" s="21">
        <v>1</v>
      </c>
      <c r="I201" s="21">
        <v>199.99</v>
      </c>
      <c r="J201" s="2" t="s">
        <v>57</v>
      </c>
      <c r="K201" s="2" t="s">
        <v>63</v>
      </c>
      <c r="L201" s="2" t="s">
        <v>36</v>
      </c>
      <c r="M201" s="4">
        <v>44953</v>
      </c>
      <c r="N201" s="5">
        <f t="shared" si="19"/>
        <v>199.99</v>
      </c>
      <c r="O201" s="3">
        <f t="shared" ca="1" si="15"/>
        <v>46143</v>
      </c>
      <c r="P201" s="8">
        <f t="shared" ca="1" si="16"/>
        <v>46143.95781284722</v>
      </c>
      <c r="Q201">
        <f t="shared" si="17"/>
        <v>611</v>
      </c>
      <c r="R201" s="3">
        <f t="shared" si="18"/>
        <v>45565</v>
      </c>
    </row>
    <row r="202" spans="1:18" ht="29.4" thickBot="1" x14ac:dyDescent="0.35">
      <c r="A202" s="2" t="s">
        <v>165</v>
      </c>
      <c r="B202" s="4">
        <v>45459</v>
      </c>
      <c r="C202" s="2" t="s">
        <v>99</v>
      </c>
      <c r="D202" s="2" t="s">
        <v>100</v>
      </c>
      <c r="E202" s="2" t="s">
        <v>117</v>
      </c>
      <c r="F202" s="2" t="s">
        <v>118</v>
      </c>
      <c r="G202" s="2" t="s">
        <v>19</v>
      </c>
      <c r="H202" s="21">
        <v>2</v>
      </c>
      <c r="I202" s="21">
        <v>89.99</v>
      </c>
      <c r="J202" s="2" t="s">
        <v>26</v>
      </c>
      <c r="K202" s="2" t="s">
        <v>35</v>
      </c>
      <c r="L202" s="2" t="s">
        <v>27</v>
      </c>
      <c r="M202" s="4">
        <v>44471</v>
      </c>
      <c r="N202" s="5">
        <f t="shared" si="19"/>
        <v>179.98</v>
      </c>
      <c r="O202" s="3">
        <f t="shared" ca="1" si="15"/>
        <v>46143</v>
      </c>
      <c r="P202" s="8">
        <f t="shared" ca="1" si="16"/>
        <v>46143.95781284722</v>
      </c>
      <c r="Q202">
        <f t="shared" si="17"/>
        <v>988</v>
      </c>
      <c r="R202" s="3">
        <f t="shared" si="18"/>
        <v>45473</v>
      </c>
    </row>
    <row r="203" spans="1:18" ht="29.4" thickBot="1" x14ac:dyDescent="0.35">
      <c r="A203" s="2" t="s">
        <v>174</v>
      </c>
      <c r="B203" s="4">
        <v>45469</v>
      </c>
      <c r="C203" s="2" t="s">
        <v>59</v>
      </c>
      <c r="D203" s="2" t="s">
        <v>60</v>
      </c>
      <c r="E203" s="2" t="s">
        <v>117</v>
      </c>
      <c r="F203" s="2" t="s">
        <v>118</v>
      </c>
      <c r="G203" s="2" t="s">
        <v>19</v>
      </c>
      <c r="H203" s="21">
        <v>2</v>
      </c>
      <c r="I203" s="21">
        <v>89.99</v>
      </c>
      <c r="J203" s="2" t="s">
        <v>20</v>
      </c>
      <c r="K203" s="2" t="s">
        <v>50</v>
      </c>
      <c r="L203" s="2" t="s">
        <v>22</v>
      </c>
      <c r="M203" s="4">
        <v>44438</v>
      </c>
      <c r="N203" s="5">
        <f t="shared" si="19"/>
        <v>179.98</v>
      </c>
      <c r="O203" s="3">
        <f t="shared" ca="1" si="15"/>
        <v>46143</v>
      </c>
      <c r="P203" s="8">
        <f t="shared" ca="1" si="16"/>
        <v>46143.95781284722</v>
      </c>
      <c r="Q203">
        <f t="shared" si="17"/>
        <v>1031</v>
      </c>
      <c r="R203" s="3">
        <f t="shared" si="18"/>
        <v>45473</v>
      </c>
    </row>
    <row r="204" spans="1:18" ht="29.4" thickBot="1" x14ac:dyDescent="0.35">
      <c r="A204" s="2" t="s">
        <v>178</v>
      </c>
      <c r="B204" s="4">
        <v>45474</v>
      </c>
      <c r="C204" s="2" t="s">
        <v>132</v>
      </c>
      <c r="D204" s="2" t="s">
        <v>133</v>
      </c>
      <c r="E204" s="2" t="s">
        <v>117</v>
      </c>
      <c r="F204" s="2" t="s">
        <v>118</v>
      </c>
      <c r="G204" s="2" t="s">
        <v>19</v>
      </c>
      <c r="H204" s="21">
        <v>2</v>
      </c>
      <c r="I204" s="21">
        <v>89.99</v>
      </c>
      <c r="J204" s="2" t="s">
        <v>34</v>
      </c>
      <c r="K204" s="2" t="s">
        <v>21</v>
      </c>
      <c r="L204" s="2" t="s">
        <v>27</v>
      </c>
      <c r="M204" s="4">
        <v>45275</v>
      </c>
      <c r="N204" s="5">
        <f t="shared" si="19"/>
        <v>179.98</v>
      </c>
      <c r="O204" s="3">
        <f t="shared" ca="1" si="15"/>
        <v>46143</v>
      </c>
      <c r="P204" s="8">
        <f t="shared" ca="1" si="16"/>
        <v>46143.95781284722</v>
      </c>
      <c r="Q204">
        <f t="shared" si="17"/>
        <v>199</v>
      </c>
      <c r="R204" s="3">
        <f t="shared" si="18"/>
        <v>45504</v>
      </c>
    </row>
    <row r="205" spans="1:18" ht="29.4" thickBot="1" x14ac:dyDescent="0.35">
      <c r="A205" s="2" t="s">
        <v>206</v>
      </c>
      <c r="B205" s="4">
        <v>45501</v>
      </c>
      <c r="C205" s="2" t="s">
        <v>86</v>
      </c>
      <c r="D205" s="2" t="s">
        <v>87</v>
      </c>
      <c r="E205" s="2" t="s">
        <v>117</v>
      </c>
      <c r="F205" s="2" t="s">
        <v>118</v>
      </c>
      <c r="G205" s="2" t="s">
        <v>19</v>
      </c>
      <c r="H205" s="21">
        <v>2</v>
      </c>
      <c r="I205" s="21">
        <v>89.99</v>
      </c>
      <c r="J205" s="2" t="s">
        <v>34</v>
      </c>
      <c r="K205" s="2" t="s">
        <v>35</v>
      </c>
      <c r="L205" s="2" t="s">
        <v>22</v>
      </c>
      <c r="M205" s="4">
        <v>44976</v>
      </c>
      <c r="N205" s="5">
        <f t="shared" si="19"/>
        <v>179.98</v>
      </c>
      <c r="O205" s="3">
        <f t="shared" ca="1" si="15"/>
        <v>46143</v>
      </c>
      <c r="P205" s="8">
        <f t="shared" ca="1" si="16"/>
        <v>46143.95781284722</v>
      </c>
      <c r="Q205">
        <f t="shared" si="17"/>
        <v>525</v>
      </c>
      <c r="R205" s="3">
        <f t="shared" si="18"/>
        <v>45504</v>
      </c>
    </row>
    <row r="206" spans="1:18" ht="29.4" thickBot="1" x14ac:dyDescent="0.35">
      <c r="A206" s="2" t="s">
        <v>221</v>
      </c>
      <c r="B206" s="4">
        <v>45522</v>
      </c>
      <c r="C206" s="2" t="s">
        <v>86</v>
      </c>
      <c r="D206" s="2" t="s">
        <v>87</v>
      </c>
      <c r="E206" s="2" t="s">
        <v>117</v>
      </c>
      <c r="F206" s="2" t="s">
        <v>118</v>
      </c>
      <c r="G206" s="2" t="s">
        <v>19</v>
      </c>
      <c r="H206" s="21">
        <v>2</v>
      </c>
      <c r="I206" s="21">
        <v>89.99</v>
      </c>
      <c r="J206" s="2" t="s">
        <v>20</v>
      </c>
      <c r="K206" s="2" t="s">
        <v>63</v>
      </c>
      <c r="L206" s="2" t="s">
        <v>27</v>
      </c>
      <c r="M206" s="4">
        <v>44972</v>
      </c>
      <c r="N206" s="5">
        <f t="shared" si="19"/>
        <v>179.98</v>
      </c>
      <c r="O206" s="3">
        <f t="shared" ca="1" si="15"/>
        <v>46143</v>
      </c>
      <c r="P206" s="8">
        <f t="shared" ca="1" si="16"/>
        <v>46143.95781284722</v>
      </c>
      <c r="Q206">
        <f t="shared" si="17"/>
        <v>550</v>
      </c>
      <c r="R206" s="3">
        <f t="shared" si="18"/>
        <v>45535</v>
      </c>
    </row>
    <row r="207" spans="1:18" ht="29.4" thickBot="1" x14ac:dyDescent="0.35">
      <c r="A207" s="2" t="s">
        <v>244</v>
      </c>
      <c r="B207" s="4">
        <v>45548</v>
      </c>
      <c r="C207" s="2" t="s">
        <v>38</v>
      </c>
      <c r="D207" s="2" t="s">
        <v>39</v>
      </c>
      <c r="E207" s="2" t="s">
        <v>117</v>
      </c>
      <c r="F207" s="2" t="s">
        <v>118</v>
      </c>
      <c r="G207" s="2" t="s">
        <v>19</v>
      </c>
      <c r="H207" s="21">
        <v>2</v>
      </c>
      <c r="I207" s="21">
        <v>89.99</v>
      </c>
      <c r="J207" s="2" t="s">
        <v>26</v>
      </c>
      <c r="K207" s="2" t="s">
        <v>35</v>
      </c>
      <c r="L207" s="2" t="s">
        <v>27</v>
      </c>
      <c r="M207" s="4">
        <v>44641</v>
      </c>
      <c r="N207" s="5">
        <f t="shared" si="19"/>
        <v>179.98</v>
      </c>
      <c r="O207" s="3">
        <f t="shared" ca="1" si="15"/>
        <v>46143</v>
      </c>
      <c r="P207" s="8">
        <f t="shared" ca="1" si="16"/>
        <v>46143.95781284722</v>
      </c>
      <c r="Q207">
        <f t="shared" si="17"/>
        <v>907</v>
      </c>
      <c r="R207" s="3">
        <f t="shared" si="18"/>
        <v>45565</v>
      </c>
    </row>
    <row r="208" spans="1:18" ht="29.4" thickBot="1" x14ac:dyDescent="0.35">
      <c r="A208" s="2" t="s">
        <v>323</v>
      </c>
      <c r="B208" s="4">
        <v>45660</v>
      </c>
      <c r="C208" s="2" t="s">
        <v>147</v>
      </c>
      <c r="D208" s="2" t="s">
        <v>148</v>
      </c>
      <c r="E208" s="2" t="s">
        <v>117</v>
      </c>
      <c r="F208" s="2" t="s">
        <v>118</v>
      </c>
      <c r="G208" s="2" t="s">
        <v>19</v>
      </c>
      <c r="H208" s="21">
        <v>2</v>
      </c>
      <c r="I208" s="21">
        <v>89.99</v>
      </c>
      <c r="J208" s="2" t="s">
        <v>26</v>
      </c>
      <c r="K208" s="2" t="s">
        <v>35</v>
      </c>
      <c r="L208" s="2" t="s">
        <v>27</v>
      </c>
      <c r="M208" s="4">
        <v>44564</v>
      </c>
      <c r="N208" s="5">
        <f t="shared" si="19"/>
        <v>179.98</v>
      </c>
      <c r="O208" s="3">
        <f t="shared" ca="1" si="15"/>
        <v>46143</v>
      </c>
      <c r="P208" s="8">
        <f t="shared" ca="1" si="16"/>
        <v>46143.95781284722</v>
      </c>
      <c r="Q208">
        <f t="shared" si="17"/>
        <v>1096</v>
      </c>
      <c r="R208" s="3">
        <f t="shared" si="18"/>
        <v>45688</v>
      </c>
    </row>
    <row r="209" spans="1:18" ht="29.4" thickBot="1" x14ac:dyDescent="0.35">
      <c r="A209" s="2" t="s">
        <v>349</v>
      </c>
      <c r="B209" s="4">
        <v>45688</v>
      </c>
      <c r="C209" s="2" t="s">
        <v>123</v>
      </c>
      <c r="D209" s="2" t="s">
        <v>124</v>
      </c>
      <c r="E209" s="2" t="s">
        <v>117</v>
      </c>
      <c r="F209" s="2" t="s">
        <v>118</v>
      </c>
      <c r="G209" s="2" t="s">
        <v>19</v>
      </c>
      <c r="H209" s="21">
        <v>2</v>
      </c>
      <c r="I209" s="21">
        <v>89.99</v>
      </c>
      <c r="J209" s="2" t="s">
        <v>57</v>
      </c>
      <c r="K209" s="2" t="s">
        <v>35</v>
      </c>
      <c r="L209" s="2" t="s">
        <v>22</v>
      </c>
      <c r="M209" s="4">
        <v>44777</v>
      </c>
      <c r="N209" s="5">
        <f t="shared" si="19"/>
        <v>179.98</v>
      </c>
      <c r="O209" s="3">
        <f t="shared" ca="1" si="15"/>
        <v>46143</v>
      </c>
      <c r="P209" s="8">
        <f t="shared" ca="1" si="16"/>
        <v>46143.95781284722</v>
      </c>
      <c r="Q209">
        <f t="shared" si="17"/>
        <v>911</v>
      </c>
      <c r="R209" s="3">
        <f t="shared" si="18"/>
        <v>45688</v>
      </c>
    </row>
    <row r="210" spans="1:18" ht="29.4" thickBot="1" x14ac:dyDescent="0.35">
      <c r="A210" s="2" t="s">
        <v>357</v>
      </c>
      <c r="B210" s="4">
        <v>45704</v>
      </c>
      <c r="C210" s="2" t="s">
        <v>15</v>
      </c>
      <c r="D210" s="2" t="s">
        <v>16</v>
      </c>
      <c r="E210" s="2" t="s">
        <v>117</v>
      </c>
      <c r="F210" s="2" t="s">
        <v>118</v>
      </c>
      <c r="G210" s="2" t="s">
        <v>19</v>
      </c>
      <c r="H210" s="21">
        <v>2</v>
      </c>
      <c r="I210" s="21">
        <v>89.99</v>
      </c>
      <c r="J210" s="2" t="s">
        <v>34</v>
      </c>
      <c r="K210" s="2" t="s">
        <v>21</v>
      </c>
      <c r="L210" s="2" t="s">
        <v>22</v>
      </c>
      <c r="M210" s="4">
        <v>45257</v>
      </c>
      <c r="N210" s="5">
        <f t="shared" si="19"/>
        <v>179.98</v>
      </c>
      <c r="O210" s="3">
        <f t="shared" ca="1" si="15"/>
        <v>46143</v>
      </c>
      <c r="P210" s="8">
        <f t="shared" ca="1" si="16"/>
        <v>46143.95781284722</v>
      </c>
      <c r="Q210">
        <f t="shared" si="17"/>
        <v>447</v>
      </c>
      <c r="R210" s="3">
        <f t="shared" si="18"/>
        <v>45716</v>
      </c>
    </row>
    <row r="211" spans="1:18" ht="29.4" thickBot="1" x14ac:dyDescent="0.35">
      <c r="A211" s="2" t="s">
        <v>374</v>
      </c>
      <c r="B211" s="4">
        <v>45723</v>
      </c>
      <c r="C211" s="2" t="s">
        <v>15</v>
      </c>
      <c r="D211" s="2" t="s">
        <v>16</v>
      </c>
      <c r="E211" s="2" t="s">
        <v>117</v>
      </c>
      <c r="F211" s="2" t="s">
        <v>118</v>
      </c>
      <c r="G211" s="2" t="s">
        <v>19</v>
      </c>
      <c r="H211" s="21">
        <v>2</v>
      </c>
      <c r="I211" s="21">
        <v>89.99</v>
      </c>
      <c r="J211" s="2" t="s">
        <v>26</v>
      </c>
      <c r="K211" s="2" t="s">
        <v>50</v>
      </c>
      <c r="L211" s="2" t="s">
        <v>27</v>
      </c>
      <c r="M211" s="4">
        <v>45295</v>
      </c>
      <c r="N211" s="5">
        <f t="shared" si="19"/>
        <v>179.98</v>
      </c>
      <c r="O211" s="3">
        <f t="shared" ca="1" si="15"/>
        <v>46143</v>
      </c>
      <c r="P211" s="8">
        <f t="shared" ca="1" si="16"/>
        <v>46143.95781284722</v>
      </c>
      <c r="Q211">
        <f t="shared" si="17"/>
        <v>428</v>
      </c>
      <c r="R211" s="3">
        <f t="shared" si="18"/>
        <v>45747</v>
      </c>
    </row>
    <row r="212" spans="1:18" ht="29.4" thickBot="1" x14ac:dyDescent="0.35">
      <c r="A212" s="2" t="s">
        <v>391</v>
      </c>
      <c r="B212" s="4">
        <v>45746</v>
      </c>
      <c r="C212" s="2" t="s">
        <v>65</v>
      </c>
      <c r="D212" s="2" t="s">
        <v>66</v>
      </c>
      <c r="E212" s="2" t="s">
        <v>117</v>
      </c>
      <c r="F212" s="2" t="s">
        <v>118</v>
      </c>
      <c r="G212" s="2" t="s">
        <v>19</v>
      </c>
      <c r="H212" s="21">
        <v>2</v>
      </c>
      <c r="I212" s="21">
        <v>89.99</v>
      </c>
      <c r="J212" s="2" t="s">
        <v>57</v>
      </c>
      <c r="K212" s="2" t="s">
        <v>50</v>
      </c>
      <c r="L212" s="2" t="s">
        <v>27</v>
      </c>
      <c r="M212" s="4">
        <v>44522</v>
      </c>
      <c r="N212" s="5">
        <f t="shared" si="19"/>
        <v>179.98</v>
      </c>
      <c r="O212" s="3">
        <f t="shared" ca="1" si="15"/>
        <v>46143</v>
      </c>
      <c r="P212" s="8">
        <f t="shared" ca="1" si="16"/>
        <v>46143.95781284722</v>
      </c>
      <c r="Q212">
        <f t="shared" si="17"/>
        <v>1224</v>
      </c>
      <c r="R212" s="3">
        <f t="shared" si="18"/>
        <v>45747</v>
      </c>
    </row>
    <row r="213" spans="1:18" ht="29.4" thickBot="1" x14ac:dyDescent="0.35">
      <c r="A213" s="2" t="s">
        <v>397</v>
      </c>
      <c r="B213" s="4">
        <v>45758</v>
      </c>
      <c r="C213" s="2" t="s">
        <v>226</v>
      </c>
      <c r="D213" s="2" t="s">
        <v>227</v>
      </c>
      <c r="E213" s="2" t="s">
        <v>117</v>
      </c>
      <c r="F213" s="2" t="s">
        <v>118</v>
      </c>
      <c r="G213" s="2" t="s">
        <v>19</v>
      </c>
      <c r="H213" s="21">
        <v>2</v>
      </c>
      <c r="I213" s="21">
        <v>89.99</v>
      </c>
      <c r="J213" s="2" t="s">
        <v>57</v>
      </c>
      <c r="K213" s="2" t="s">
        <v>63</v>
      </c>
      <c r="L213" s="2" t="s">
        <v>22</v>
      </c>
      <c r="M213" s="4">
        <v>45088</v>
      </c>
      <c r="N213" s="5">
        <f t="shared" si="19"/>
        <v>179.98</v>
      </c>
      <c r="O213" s="3">
        <f t="shared" ca="1" si="15"/>
        <v>46143</v>
      </c>
      <c r="P213" s="8">
        <f t="shared" ca="1" si="16"/>
        <v>46143.95781284722</v>
      </c>
      <c r="Q213">
        <f t="shared" si="17"/>
        <v>670</v>
      </c>
      <c r="R213" s="3">
        <f t="shared" si="18"/>
        <v>45777</v>
      </c>
    </row>
    <row r="214" spans="1:18" ht="29.4" thickBot="1" x14ac:dyDescent="0.35">
      <c r="A214" s="2" t="s">
        <v>28</v>
      </c>
      <c r="B214" s="4">
        <v>45399</v>
      </c>
      <c r="C214" s="2" t="s">
        <v>29</v>
      </c>
      <c r="D214" s="2" t="s">
        <v>30</v>
      </c>
      <c r="E214" s="2" t="s">
        <v>31</v>
      </c>
      <c r="F214" s="2" t="s">
        <v>32</v>
      </c>
      <c r="G214" s="2" t="s">
        <v>33</v>
      </c>
      <c r="H214" s="21">
        <v>3</v>
      </c>
      <c r="I214" s="21">
        <v>59.99</v>
      </c>
      <c r="J214" s="2" t="s">
        <v>34</v>
      </c>
      <c r="K214" s="2" t="s">
        <v>35</v>
      </c>
      <c r="L214" s="2" t="s">
        <v>36</v>
      </c>
      <c r="M214" s="4">
        <v>45262</v>
      </c>
      <c r="N214" s="5">
        <f t="shared" si="19"/>
        <v>179.97</v>
      </c>
      <c r="O214" s="3">
        <f t="shared" ca="1" si="15"/>
        <v>46143</v>
      </c>
      <c r="P214" s="8">
        <f t="shared" ca="1" si="16"/>
        <v>46143.95781284722</v>
      </c>
      <c r="Q214">
        <f t="shared" si="17"/>
        <v>137</v>
      </c>
      <c r="R214" s="3">
        <f t="shared" si="18"/>
        <v>45412</v>
      </c>
    </row>
    <row r="215" spans="1:18" ht="29.4" thickBot="1" x14ac:dyDescent="0.35">
      <c r="A215" s="2" t="s">
        <v>37</v>
      </c>
      <c r="B215" s="4">
        <v>45400</v>
      </c>
      <c r="C215" s="2" t="s">
        <v>38</v>
      </c>
      <c r="D215" s="2" t="s">
        <v>39</v>
      </c>
      <c r="E215" s="2" t="s">
        <v>31</v>
      </c>
      <c r="F215" s="2" t="s">
        <v>32</v>
      </c>
      <c r="G215" s="2" t="s">
        <v>33</v>
      </c>
      <c r="H215" s="21">
        <v>3</v>
      </c>
      <c r="I215" s="21">
        <v>59.99</v>
      </c>
      <c r="J215" s="2" t="s">
        <v>20</v>
      </c>
      <c r="K215" s="2" t="s">
        <v>40</v>
      </c>
      <c r="L215" s="2" t="s">
        <v>27</v>
      </c>
      <c r="M215" s="4">
        <v>45114</v>
      </c>
      <c r="N215" s="5">
        <f t="shared" si="19"/>
        <v>179.97</v>
      </c>
      <c r="O215" s="3">
        <f t="shared" ca="1" si="15"/>
        <v>46143</v>
      </c>
      <c r="P215" s="8">
        <f t="shared" ca="1" si="16"/>
        <v>46143.95781284722</v>
      </c>
      <c r="Q215">
        <f t="shared" si="17"/>
        <v>286</v>
      </c>
      <c r="R215" s="3">
        <f t="shared" si="18"/>
        <v>45412</v>
      </c>
    </row>
    <row r="216" spans="1:18" ht="29.4" thickBot="1" x14ac:dyDescent="0.35">
      <c r="A216" s="2" t="s">
        <v>54</v>
      </c>
      <c r="B216" s="4">
        <v>45403</v>
      </c>
      <c r="C216" s="2" t="s">
        <v>55</v>
      </c>
      <c r="D216" s="2" t="s">
        <v>56</v>
      </c>
      <c r="E216" s="2" t="s">
        <v>31</v>
      </c>
      <c r="F216" s="2" t="s">
        <v>32</v>
      </c>
      <c r="G216" s="2" t="s">
        <v>33</v>
      </c>
      <c r="H216" s="21">
        <v>3</v>
      </c>
      <c r="I216" s="21">
        <v>59.99</v>
      </c>
      <c r="J216" s="2" t="s">
        <v>57</v>
      </c>
      <c r="K216" s="2" t="s">
        <v>35</v>
      </c>
      <c r="L216" s="2" t="s">
        <v>22</v>
      </c>
      <c r="M216" s="4">
        <v>45007</v>
      </c>
      <c r="N216" s="5">
        <f t="shared" si="19"/>
        <v>179.97</v>
      </c>
      <c r="O216" s="3">
        <f t="shared" ca="1" si="15"/>
        <v>46143</v>
      </c>
      <c r="P216" s="8">
        <f t="shared" ca="1" si="16"/>
        <v>46143.95781284722</v>
      </c>
      <c r="Q216">
        <f t="shared" si="17"/>
        <v>396</v>
      </c>
      <c r="R216" s="3">
        <f t="shared" si="18"/>
        <v>45412</v>
      </c>
    </row>
    <row r="217" spans="1:18" ht="29.4" thickBot="1" x14ac:dyDescent="0.35">
      <c r="A217" s="2" t="s">
        <v>64</v>
      </c>
      <c r="B217" s="4">
        <v>45408</v>
      </c>
      <c r="C217" s="2" t="s">
        <v>65</v>
      </c>
      <c r="D217" s="2" t="s">
        <v>66</v>
      </c>
      <c r="E217" s="2" t="s">
        <v>31</v>
      </c>
      <c r="F217" s="2" t="s">
        <v>32</v>
      </c>
      <c r="G217" s="2" t="s">
        <v>33</v>
      </c>
      <c r="H217" s="21">
        <v>3</v>
      </c>
      <c r="I217" s="21">
        <v>59.99</v>
      </c>
      <c r="J217" s="2" t="s">
        <v>20</v>
      </c>
      <c r="K217" s="2" t="s">
        <v>50</v>
      </c>
      <c r="L217" s="2" t="s">
        <v>27</v>
      </c>
      <c r="M217" s="4">
        <v>45207</v>
      </c>
      <c r="N217" s="5">
        <f t="shared" si="19"/>
        <v>179.97</v>
      </c>
      <c r="O217" s="3">
        <f t="shared" ca="1" si="15"/>
        <v>46143</v>
      </c>
      <c r="P217" s="8">
        <f t="shared" ca="1" si="16"/>
        <v>46143.95781284722</v>
      </c>
      <c r="Q217">
        <f t="shared" si="17"/>
        <v>201</v>
      </c>
      <c r="R217" s="3">
        <f t="shared" si="18"/>
        <v>45412</v>
      </c>
    </row>
    <row r="218" spans="1:18" ht="29.4" thickBot="1" x14ac:dyDescent="0.35">
      <c r="A218" s="2" t="s">
        <v>74</v>
      </c>
      <c r="B218" s="4">
        <v>45409</v>
      </c>
      <c r="C218" s="2" t="s">
        <v>75</v>
      </c>
      <c r="D218" s="2" t="s">
        <v>76</v>
      </c>
      <c r="E218" s="2" t="s">
        <v>31</v>
      </c>
      <c r="F218" s="2" t="s">
        <v>32</v>
      </c>
      <c r="G218" s="2" t="s">
        <v>33</v>
      </c>
      <c r="H218" s="21">
        <v>3</v>
      </c>
      <c r="I218" s="21">
        <v>59.99</v>
      </c>
      <c r="J218" s="2" t="s">
        <v>26</v>
      </c>
      <c r="K218" s="2" t="s">
        <v>40</v>
      </c>
      <c r="L218" s="2" t="s">
        <v>36</v>
      </c>
      <c r="M218" s="4">
        <v>45351</v>
      </c>
      <c r="N218" s="5">
        <f t="shared" si="19"/>
        <v>179.97</v>
      </c>
      <c r="O218" s="3">
        <f t="shared" ca="1" si="15"/>
        <v>46143</v>
      </c>
      <c r="P218" s="8">
        <f t="shared" ca="1" si="16"/>
        <v>46143.95781284722</v>
      </c>
      <c r="Q218">
        <f t="shared" si="17"/>
        <v>58</v>
      </c>
      <c r="R218" s="3">
        <f t="shared" si="18"/>
        <v>45412</v>
      </c>
    </row>
    <row r="219" spans="1:18" ht="29.4" thickBot="1" x14ac:dyDescent="0.35">
      <c r="A219" s="2" t="s">
        <v>195</v>
      </c>
      <c r="B219" s="4">
        <v>45490</v>
      </c>
      <c r="C219" s="2" t="s">
        <v>196</v>
      </c>
      <c r="D219" s="2" t="s">
        <v>197</v>
      </c>
      <c r="E219" s="2" t="s">
        <v>31</v>
      </c>
      <c r="F219" s="2" t="s">
        <v>32</v>
      </c>
      <c r="G219" s="2" t="s">
        <v>33</v>
      </c>
      <c r="H219" s="21">
        <v>3</v>
      </c>
      <c r="I219" s="21">
        <v>59.99</v>
      </c>
      <c r="J219" s="2" t="s">
        <v>26</v>
      </c>
      <c r="K219" s="2" t="s">
        <v>50</v>
      </c>
      <c r="L219" s="2" t="s">
        <v>22</v>
      </c>
      <c r="M219" s="4">
        <v>45130</v>
      </c>
      <c r="N219" s="5">
        <f t="shared" si="19"/>
        <v>179.97</v>
      </c>
      <c r="O219" s="3">
        <f t="shared" ca="1" si="15"/>
        <v>46143</v>
      </c>
      <c r="P219" s="8">
        <f t="shared" ca="1" si="16"/>
        <v>46143.95781284722</v>
      </c>
      <c r="Q219">
        <f t="shared" si="17"/>
        <v>360</v>
      </c>
      <c r="R219" s="3">
        <f t="shared" si="18"/>
        <v>45504</v>
      </c>
    </row>
    <row r="220" spans="1:18" ht="29.4" thickBot="1" x14ac:dyDescent="0.35">
      <c r="A220" s="2" t="s">
        <v>239</v>
      </c>
      <c r="B220" s="4">
        <v>45541</v>
      </c>
      <c r="C220" s="2" t="s">
        <v>138</v>
      </c>
      <c r="D220" s="2" t="s">
        <v>139</v>
      </c>
      <c r="E220" s="2" t="s">
        <v>31</v>
      </c>
      <c r="F220" s="2" t="s">
        <v>32</v>
      </c>
      <c r="G220" s="2" t="s">
        <v>33</v>
      </c>
      <c r="H220" s="21">
        <v>3</v>
      </c>
      <c r="I220" s="21">
        <v>59.99</v>
      </c>
      <c r="J220" s="2" t="s">
        <v>26</v>
      </c>
      <c r="K220" s="2" t="s">
        <v>21</v>
      </c>
      <c r="L220" s="2" t="s">
        <v>27</v>
      </c>
      <c r="M220" s="4">
        <v>44717</v>
      </c>
      <c r="N220" s="5">
        <f t="shared" si="19"/>
        <v>179.97</v>
      </c>
      <c r="O220" s="3">
        <f t="shared" ca="1" si="15"/>
        <v>46143</v>
      </c>
      <c r="P220" s="8">
        <f t="shared" ca="1" si="16"/>
        <v>46143.95781284722</v>
      </c>
      <c r="Q220">
        <f t="shared" si="17"/>
        <v>824</v>
      </c>
      <c r="R220" s="3">
        <f t="shared" si="18"/>
        <v>45565</v>
      </c>
    </row>
    <row r="221" spans="1:18" ht="29.4" thickBot="1" x14ac:dyDescent="0.35">
      <c r="A221" s="2" t="s">
        <v>240</v>
      </c>
      <c r="B221" s="4">
        <v>45544</v>
      </c>
      <c r="C221" s="2" t="s">
        <v>132</v>
      </c>
      <c r="D221" s="2" t="s">
        <v>133</v>
      </c>
      <c r="E221" s="2" t="s">
        <v>31</v>
      </c>
      <c r="F221" s="2" t="s">
        <v>32</v>
      </c>
      <c r="G221" s="2" t="s">
        <v>33</v>
      </c>
      <c r="H221" s="21">
        <v>3</v>
      </c>
      <c r="I221" s="21">
        <v>59.99</v>
      </c>
      <c r="J221" s="2" t="s">
        <v>34</v>
      </c>
      <c r="K221" s="2" t="s">
        <v>63</v>
      </c>
      <c r="L221" s="2" t="s">
        <v>36</v>
      </c>
      <c r="M221" s="4">
        <v>44748</v>
      </c>
      <c r="N221" s="5">
        <f t="shared" si="19"/>
        <v>179.97</v>
      </c>
      <c r="O221" s="3">
        <f t="shared" ca="1" si="15"/>
        <v>46143</v>
      </c>
      <c r="P221" s="8">
        <f t="shared" ca="1" si="16"/>
        <v>46143.95781284722</v>
      </c>
      <c r="Q221">
        <f t="shared" si="17"/>
        <v>796</v>
      </c>
      <c r="R221" s="3">
        <f t="shared" si="18"/>
        <v>45565</v>
      </c>
    </row>
    <row r="222" spans="1:18" ht="29.4" thickBot="1" x14ac:dyDescent="0.35">
      <c r="A222" s="2" t="s">
        <v>286</v>
      </c>
      <c r="B222" s="4">
        <v>45608</v>
      </c>
      <c r="C222" s="2" t="s">
        <v>83</v>
      </c>
      <c r="D222" s="2" t="s">
        <v>84</v>
      </c>
      <c r="E222" s="2" t="s">
        <v>31</v>
      </c>
      <c r="F222" s="2" t="s">
        <v>32</v>
      </c>
      <c r="G222" s="2" t="s">
        <v>33</v>
      </c>
      <c r="H222" s="21">
        <v>3</v>
      </c>
      <c r="I222" s="21">
        <v>59.99</v>
      </c>
      <c r="J222" s="2" t="s">
        <v>57</v>
      </c>
      <c r="K222" s="2" t="s">
        <v>35</v>
      </c>
      <c r="L222" s="2" t="s">
        <v>36</v>
      </c>
      <c r="M222" s="4">
        <v>45260</v>
      </c>
      <c r="N222" s="5">
        <f t="shared" si="19"/>
        <v>179.97</v>
      </c>
      <c r="O222" s="3">
        <f t="shared" ca="1" si="15"/>
        <v>46143</v>
      </c>
      <c r="P222" s="8">
        <f t="shared" ca="1" si="16"/>
        <v>46143.95781284722</v>
      </c>
      <c r="Q222">
        <f t="shared" si="17"/>
        <v>348</v>
      </c>
      <c r="R222" s="3">
        <f t="shared" si="18"/>
        <v>45626</v>
      </c>
    </row>
    <row r="223" spans="1:18" ht="29.4" thickBot="1" x14ac:dyDescent="0.35">
      <c r="A223" s="2" t="s">
        <v>303</v>
      </c>
      <c r="B223" s="4">
        <v>45635</v>
      </c>
      <c r="C223" s="2" t="s">
        <v>304</v>
      </c>
      <c r="D223" s="2" t="s">
        <v>305</v>
      </c>
      <c r="E223" s="2" t="s">
        <v>31</v>
      </c>
      <c r="F223" s="2" t="s">
        <v>32</v>
      </c>
      <c r="G223" s="2" t="s">
        <v>33</v>
      </c>
      <c r="H223" s="21">
        <v>3</v>
      </c>
      <c r="I223" s="21">
        <v>59.99</v>
      </c>
      <c r="J223" s="2" t="s">
        <v>20</v>
      </c>
      <c r="K223" s="2" t="s">
        <v>21</v>
      </c>
      <c r="L223" s="2" t="s">
        <v>27</v>
      </c>
      <c r="M223" s="4">
        <v>45052</v>
      </c>
      <c r="N223" s="5">
        <f t="shared" si="19"/>
        <v>179.97</v>
      </c>
      <c r="O223" s="3">
        <f t="shared" ca="1" si="15"/>
        <v>46143</v>
      </c>
      <c r="P223" s="8">
        <f t="shared" ca="1" si="16"/>
        <v>46143.95781284722</v>
      </c>
      <c r="Q223">
        <f t="shared" si="17"/>
        <v>583</v>
      </c>
      <c r="R223" s="3">
        <f t="shared" si="18"/>
        <v>45657</v>
      </c>
    </row>
    <row r="224" spans="1:18" ht="29.4" thickBot="1" x14ac:dyDescent="0.35">
      <c r="A224" s="2" t="s">
        <v>67</v>
      </c>
      <c r="B224" s="4">
        <v>45408</v>
      </c>
      <c r="C224" s="2" t="s">
        <v>68</v>
      </c>
      <c r="D224" s="2" t="s">
        <v>69</v>
      </c>
      <c r="E224" s="2" t="s">
        <v>44</v>
      </c>
      <c r="F224" s="2" t="s">
        <v>45</v>
      </c>
      <c r="G224" s="2" t="s">
        <v>46</v>
      </c>
      <c r="H224" s="21">
        <v>1</v>
      </c>
      <c r="I224" s="21">
        <v>149.99</v>
      </c>
      <c r="J224" s="2" t="s">
        <v>26</v>
      </c>
      <c r="K224" s="2" t="s">
        <v>50</v>
      </c>
      <c r="L224" s="2" t="s">
        <v>36</v>
      </c>
      <c r="M224" s="4">
        <v>45103</v>
      </c>
      <c r="N224" s="5">
        <f t="shared" si="19"/>
        <v>149.99</v>
      </c>
      <c r="O224" s="3">
        <f t="shared" ca="1" si="15"/>
        <v>46143</v>
      </c>
      <c r="P224" s="8">
        <f t="shared" ca="1" si="16"/>
        <v>46143.95781284722</v>
      </c>
      <c r="Q224">
        <f t="shared" si="17"/>
        <v>305</v>
      </c>
      <c r="R224" s="3">
        <f t="shared" si="18"/>
        <v>45412</v>
      </c>
    </row>
    <row r="225" spans="1:18" ht="29.4" thickBot="1" x14ac:dyDescent="0.35">
      <c r="A225" s="2" t="s">
        <v>177</v>
      </c>
      <c r="B225" s="4">
        <v>45472</v>
      </c>
      <c r="C225" s="2" t="s">
        <v>120</v>
      </c>
      <c r="D225" s="2" t="s">
        <v>121</v>
      </c>
      <c r="E225" s="2" t="s">
        <v>44</v>
      </c>
      <c r="F225" s="2" t="s">
        <v>45</v>
      </c>
      <c r="G225" s="2" t="s">
        <v>46</v>
      </c>
      <c r="H225" s="21">
        <v>1</v>
      </c>
      <c r="I225" s="21">
        <v>149.99</v>
      </c>
      <c r="J225" s="2" t="s">
        <v>34</v>
      </c>
      <c r="K225" s="2" t="s">
        <v>63</v>
      </c>
      <c r="L225" s="2" t="s">
        <v>22</v>
      </c>
      <c r="M225" s="4">
        <v>44851</v>
      </c>
      <c r="N225" s="5">
        <f t="shared" si="19"/>
        <v>149.99</v>
      </c>
      <c r="O225" s="3">
        <f t="shared" ca="1" si="15"/>
        <v>46143</v>
      </c>
      <c r="P225" s="8">
        <f t="shared" ca="1" si="16"/>
        <v>46143.95781284722</v>
      </c>
      <c r="Q225">
        <f t="shared" si="17"/>
        <v>621</v>
      </c>
      <c r="R225" s="3">
        <f t="shared" si="18"/>
        <v>45473</v>
      </c>
    </row>
    <row r="226" spans="1:18" ht="29.4" thickBot="1" x14ac:dyDescent="0.35">
      <c r="A226" s="2" t="s">
        <v>184</v>
      </c>
      <c r="B226" s="4">
        <v>45481</v>
      </c>
      <c r="C226" s="2" t="s">
        <v>185</v>
      </c>
      <c r="D226" s="2" t="s">
        <v>186</v>
      </c>
      <c r="E226" s="2" t="s">
        <v>44</v>
      </c>
      <c r="F226" s="2" t="s">
        <v>45</v>
      </c>
      <c r="G226" s="2" t="s">
        <v>46</v>
      </c>
      <c r="H226" s="21">
        <v>1</v>
      </c>
      <c r="I226" s="21">
        <v>149.99</v>
      </c>
      <c r="J226" s="2" t="s">
        <v>34</v>
      </c>
      <c r="K226" s="2" t="s">
        <v>40</v>
      </c>
      <c r="L226" s="2" t="s">
        <v>22</v>
      </c>
      <c r="M226" s="4">
        <v>44421</v>
      </c>
      <c r="N226" s="5">
        <f t="shared" si="19"/>
        <v>149.99</v>
      </c>
      <c r="O226" s="3">
        <f t="shared" ca="1" si="15"/>
        <v>46143</v>
      </c>
      <c r="P226" s="8">
        <f t="shared" ca="1" si="16"/>
        <v>46143.95781284722</v>
      </c>
      <c r="Q226">
        <f t="shared" si="17"/>
        <v>1060</v>
      </c>
      <c r="R226" s="3">
        <f t="shared" si="18"/>
        <v>45504</v>
      </c>
    </row>
    <row r="227" spans="1:18" ht="29.4" thickBot="1" x14ac:dyDescent="0.35">
      <c r="A227" s="2" t="s">
        <v>190</v>
      </c>
      <c r="B227" s="4">
        <v>45484</v>
      </c>
      <c r="C227" s="2" t="s">
        <v>24</v>
      </c>
      <c r="D227" s="2" t="s">
        <v>25</v>
      </c>
      <c r="E227" s="2" t="s">
        <v>52</v>
      </c>
      <c r="F227" s="2" t="s">
        <v>53</v>
      </c>
      <c r="G227" s="2" t="s">
        <v>19</v>
      </c>
      <c r="H227" s="21">
        <v>1</v>
      </c>
      <c r="I227" s="21">
        <v>149.99</v>
      </c>
      <c r="J227" s="2" t="s">
        <v>20</v>
      </c>
      <c r="K227" s="2" t="s">
        <v>21</v>
      </c>
      <c r="L227" s="2" t="s">
        <v>36</v>
      </c>
      <c r="M227" s="4">
        <v>44909</v>
      </c>
      <c r="N227" s="5">
        <f t="shared" si="19"/>
        <v>149.99</v>
      </c>
      <c r="O227" s="3">
        <f t="shared" ca="1" si="15"/>
        <v>46143</v>
      </c>
      <c r="P227" s="8">
        <f t="shared" ca="1" si="16"/>
        <v>46143.95781284722</v>
      </c>
      <c r="Q227">
        <f t="shared" si="17"/>
        <v>575</v>
      </c>
      <c r="R227" s="3">
        <f t="shared" si="18"/>
        <v>45504</v>
      </c>
    </row>
    <row r="228" spans="1:18" ht="29.4" thickBot="1" x14ac:dyDescent="0.35">
      <c r="A228" s="2" t="s">
        <v>251</v>
      </c>
      <c r="B228" s="4">
        <v>45554</v>
      </c>
      <c r="C228" s="2" t="s">
        <v>252</v>
      </c>
      <c r="D228" s="2" t="s">
        <v>253</v>
      </c>
      <c r="E228" s="2" t="s">
        <v>52</v>
      </c>
      <c r="F228" s="2" t="s">
        <v>53</v>
      </c>
      <c r="G228" s="2" t="s">
        <v>19</v>
      </c>
      <c r="H228" s="21">
        <v>1</v>
      </c>
      <c r="I228" s="21">
        <v>149.99</v>
      </c>
      <c r="J228" s="2" t="s">
        <v>34</v>
      </c>
      <c r="K228" s="2" t="s">
        <v>63</v>
      </c>
      <c r="L228" s="2" t="s">
        <v>36</v>
      </c>
      <c r="M228" s="4">
        <v>44482</v>
      </c>
      <c r="N228" s="5">
        <f t="shared" si="19"/>
        <v>149.99</v>
      </c>
      <c r="O228" s="3">
        <f t="shared" ca="1" si="15"/>
        <v>46143</v>
      </c>
      <c r="P228" s="8">
        <f t="shared" ca="1" si="16"/>
        <v>46143.95781284722</v>
      </c>
      <c r="Q228">
        <f t="shared" si="17"/>
        <v>1072</v>
      </c>
      <c r="R228" s="3">
        <f t="shared" si="18"/>
        <v>45565</v>
      </c>
    </row>
    <row r="229" spans="1:18" ht="29.4" thickBot="1" x14ac:dyDescent="0.35">
      <c r="A229" s="2" t="s">
        <v>309</v>
      </c>
      <c r="B229" s="4">
        <v>45641</v>
      </c>
      <c r="C229" s="2" t="s">
        <v>182</v>
      </c>
      <c r="D229" s="2" t="s">
        <v>183</v>
      </c>
      <c r="E229" s="2" t="s">
        <v>44</v>
      </c>
      <c r="F229" s="2" t="s">
        <v>45</v>
      </c>
      <c r="G229" s="2" t="s">
        <v>46</v>
      </c>
      <c r="H229" s="21">
        <v>1</v>
      </c>
      <c r="I229" s="21">
        <v>149.99</v>
      </c>
      <c r="J229" s="2" t="s">
        <v>57</v>
      </c>
      <c r="K229" s="2" t="s">
        <v>63</v>
      </c>
      <c r="L229" s="2" t="s">
        <v>36</v>
      </c>
      <c r="M229" s="4">
        <v>45200</v>
      </c>
      <c r="N229" s="5">
        <f t="shared" si="19"/>
        <v>149.99</v>
      </c>
      <c r="O229" s="3">
        <f t="shared" ca="1" si="15"/>
        <v>46143</v>
      </c>
      <c r="P229" s="8">
        <f t="shared" ca="1" si="16"/>
        <v>46143.95781284722</v>
      </c>
      <c r="Q229">
        <f t="shared" si="17"/>
        <v>441</v>
      </c>
      <c r="R229" s="3">
        <f t="shared" si="18"/>
        <v>45657</v>
      </c>
    </row>
    <row r="230" spans="1:18" ht="29.4" thickBot="1" x14ac:dyDescent="0.35">
      <c r="A230" s="2" t="s">
        <v>47</v>
      </c>
      <c r="B230" s="4">
        <v>45403</v>
      </c>
      <c r="C230" s="2" t="s">
        <v>48</v>
      </c>
      <c r="D230" s="2" t="s">
        <v>49</v>
      </c>
      <c r="E230" s="2" t="s">
        <v>31</v>
      </c>
      <c r="F230" s="2" t="s">
        <v>32</v>
      </c>
      <c r="G230" s="2" t="s">
        <v>33</v>
      </c>
      <c r="H230" s="21">
        <v>2</v>
      </c>
      <c r="I230" s="21">
        <v>59.99</v>
      </c>
      <c r="J230" s="2" t="s">
        <v>20</v>
      </c>
      <c r="K230" s="2" t="s">
        <v>50</v>
      </c>
      <c r="L230" s="2" t="s">
        <v>36</v>
      </c>
      <c r="M230" s="4">
        <v>44746</v>
      </c>
      <c r="N230" s="5">
        <f t="shared" si="19"/>
        <v>119.98</v>
      </c>
      <c r="O230" s="3">
        <f t="shared" ca="1" si="15"/>
        <v>46143</v>
      </c>
      <c r="P230" s="8">
        <f t="shared" ca="1" si="16"/>
        <v>46143.95781284722</v>
      </c>
      <c r="Q230">
        <f t="shared" si="17"/>
        <v>657</v>
      </c>
      <c r="R230" s="3">
        <f t="shared" si="18"/>
        <v>45412</v>
      </c>
    </row>
    <row r="231" spans="1:18" ht="29.4" thickBot="1" x14ac:dyDescent="0.35">
      <c r="A231" s="2" t="s">
        <v>119</v>
      </c>
      <c r="B231" s="4">
        <v>45425</v>
      </c>
      <c r="C231" s="2" t="s">
        <v>120</v>
      </c>
      <c r="D231" s="2" t="s">
        <v>121</v>
      </c>
      <c r="E231" s="2" t="s">
        <v>31</v>
      </c>
      <c r="F231" s="2" t="s">
        <v>32</v>
      </c>
      <c r="G231" s="2" t="s">
        <v>33</v>
      </c>
      <c r="H231" s="21">
        <v>2</v>
      </c>
      <c r="I231" s="21">
        <v>59.99</v>
      </c>
      <c r="J231" s="2" t="s">
        <v>57</v>
      </c>
      <c r="K231" s="2" t="s">
        <v>21</v>
      </c>
      <c r="L231" s="2" t="s">
        <v>36</v>
      </c>
      <c r="M231" s="4">
        <v>45214</v>
      </c>
      <c r="N231" s="5">
        <f t="shared" si="19"/>
        <v>119.98</v>
      </c>
      <c r="O231" s="3">
        <f t="shared" ca="1" si="15"/>
        <v>46143</v>
      </c>
      <c r="P231" s="8">
        <f t="shared" ca="1" si="16"/>
        <v>46143.95781284722</v>
      </c>
      <c r="Q231">
        <f t="shared" si="17"/>
        <v>211</v>
      </c>
      <c r="R231" s="3">
        <f t="shared" si="18"/>
        <v>45443</v>
      </c>
    </row>
    <row r="232" spans="1:18" ht="29.4" thickBot="1" x14ac:dyDescent="0.35">
      <c r="A232" s="2" t="s">
        <v>149</v>
      </c>
      <c r="B232" s="4">
        <v>45444</v>
      </c>
      <c r="C232" s="2" t="s">
        <v>150</v>
      </c>
      <c r="D232" s="2" t="s">
        <v>151</v>
      </c>
      <c r="E232" s="2" t="s">
        <v>31</v>
      </c>
      <c r="F232" s="2" t="s">
        <v>32</v>
      </c>
      <c r="G232" s="2" t="s">
        <v>33</v>
      </c>
      <c r="H232" s="21">
        <v>2</v>
      </c>
      <c r="I232" s="21">
        <v>59.99</v>
      </c>
      <c r="J232" s="2" t="s">
        <v>20</v>
      </c>
      <c r="K232" s="2" t="s">
        <v>50</v>
      </c>
      <c r="L232" s="2" t="s">
        <v>22</v>
      </c>
      <c r="M232" s="4">
        <v>45390</v>
      </c>
      <c r="N232" s="5">
        <f t="shared" si="19"/>
        <v>119.98</v>
      </c>
      <c r="O232" s="3">
        <f t="shared" ca="1" si="15"/>
        <v>46143</v>
      </c>
      <c r="P232" s="8">
        <f t="shared" ca="1" si="16"/>
        <v>46143.95781284722</v>
      </c>
      <c r="Q232">
        <f t="shared" si="17"/>
        <v>54</v>
      </c>
      <c r="R232" s="3">
        <f t="shared" si="18"/>
        <v>45473</v>
      </c>
    </row>
    <row r="233" spans="1:18" ht="29.4" thickBot="1" x14ac:dyDescent="0.35">
      <c r="A233" s="2" t="s">
        <v>202</v>
      </c>
      <c r="B233" s="4">
        <v>45498</v>
      </c>
      <c r="C233" s="2" t="s">
        <v>182</v>
      </c>
      <c r="D233" s="2" t="s">
        <v>183</v>
      </c>
      <c r="E233" s="2" t="s">
        <v>31</v>
      </c>
      <c r="F233" s="2" t="s">
        <v>32</v>
      </c>
      <c r="G233" s="2" t="s">
        <v>33</v>
      </c>
      <c r="H233" s="21">
        <v>2</v>
      </c>
      <c r="I233" s="21">
        <v>59.99</v>
      </c>
      <c r="J233" s="2" t="s">
        <v>20</v>
      </c>
      <c r="K233" s="2" t="s">
        <v>40</v>
      </c>
      <c r="L233" s="2" t="s">
        <v>36</v>
      </c>
      <c r="M233" s="4">
        <v>45152</v>
      </c>
      <c r="N233" s="5">
        <f t="shared" si="19"/>
        <v>119.98</v>
      </c>
      <c r="O233" s="3">
        <f t="shared" ca="1" si="15"/>
        <v>46143</v>
      </c>
      <c r="P233" s="8">
        <f t="shared" ca="1" si="16"/>
        <v>46143.95781284722</v>
      </c>
      <c r="Q233">
        <f t="shared" si="17"/>
        <v>346</v>
      </c>
      <c r="R233" s="3">
        <f t="shared" si="18"/>
        <v>45504</v>
      </c>
    </row>
    <row r="234" spans="1:18" ht="29.4" thickBot="1" x14ac:dyDescent="0.35">
      <c r="A234" s="2" t="s">
        <v>262</v>
      </c>
      <c r="B234" s="4">
        <v>45572</v>
      </c>
      <c r="C234" s="2" t="s">
        <v>89</v>
      </c>
      <c r="D234" s="2" t="s">
        <v>90</v>
      </c>
      <c r="E234" s="2" t="s">
        <v>31</v>
      </c>
      <c r="F234" s="2" t="s">
        <v>32</v>
      </c>
      <c r="G234" s="2" t="s">
        <v>33</v>
      </c>
      <c r="H234" s="21">
        <v>2</v>
      </c>
      <c r="I234" s="21">
        <v>59.99</v>
      </c>
      <c r="J234" s="2" t="s">
        <v>26</v>
      </c>
      <c r="K234" s="2" t="s">
        <v>21</v>
      </c>
      <c r="L234" s="2" t="s">
        <v>22</v>
      </c>
      <c r="M234" s="4">
        <v>44579</v>
      </c>
      <c r="N234" s="5">
        <f t="shared" si="19"/>
        <v>119.98</v>
      </c>
      <c r="O234" s="3">
        <f t="shared" ca="1" si="15"/>
        <v>46143</v>
      </c>
      <c r="P234" s="8">
        <f t="shared" ca="1" si="16"/>
        <v>46143.95781284722</v>
      </c>
      <c r="Q234">
        <f t="shared" si="17"/>
        <v>993</v>
      </c>
      <c r="R234" s="3">
        <f t="shared" si="18"/>
        <v>45596</v>
      </c>
    </row>
    <row r="235" spans="1:18" ht="29.4" thickBot="1" x14ac:dyDescent="0.35">
      <c r="A235" s="2" t="s">
        <v>311</v>
      </c>
      <c r="B235" s="4">
        <v>45644</v>
      </c>
      <c r="C235" s="2" t="s">
        <v>132</v>
      </c>
      <c r="D235" s="2" t="s">
        <v>133</v>
      </c>
      <c r="E235" s="2" t="s">
        <v>31</v>
      </c>
      <c r="F235" s="2" t="s">
        <v>32</v>
      </c>
      <c r="G235" s="2" t="s">
        <v>33</v>
      </c>
      <c r="H235" s="21">
        <v>2</v>
      </c>
      <c r="I235" s="21">
        <v>59.99</v>
      </c>
      <c r="J235" s="2" t="s">
        <v>20</v>
      </c>
      <c r="K235" s="2" t="s">
        <v>50</v>
      </c>
      <c r="L235" s="2" t="s">
        <v>22</v>
      </c>
      <c r="M235" s="4">
        <v>45191</v>
      </c>
      <c r="N235" s="5">
        <f t="shared" si="19"/>
        <v>119.98</v>
      </c>
      <c r="O235" s="3">
        <f t="shared" ca="1" si="15"/>
        <v>46143</v>
      </c>
      <c r="P235" s="8">
        <f t="shared" ca="1" si="16"/>
        <v>46143.95781284722</v>
      </c>
      <c r="Q235">
        <f t="shared" si="17"/>
        <v>453</v>
      </c>
      <c r="R235" s="3">
        <f t="shared" si="18"/>
        <v>45657</v>
      </c>
    </row>
    <row r="236" spans="1:18" ht="29.4" thickBot="1" x14ac:dyDescent="0.35">
      <c r="A236" s="2" t="s">
        <v>380</v>
      </c>
      <c r="B236" s="4">
        <v>45734</v>
      </c>
      <c r="C236" s="2" t="s">
        <v>192</v>
      </c>
      <c r="D236" s="2" t="s">
        <v>193</v>
      </c>
      <c r="E236" s="2" t="s">
        <v>31</v>
      </c>
      <c r="F236" s="2" t="s">
        <v>32</v>
      </c>
      <c r="G236" s="2" t="s">
        <v>33</v>
      </c>
      <c r="H236" s="21">
        <v>2</v>
      </c>
      <c r="I236" s="21">
        <v>59.99</v>
      </c>
      <c r="J236" s="2" t="s">
        <v>26</v>
      </c>
      <c r="K236" s="2" t="s">
        <v>50</v>
      </c>
      <c r="L236" s="2" t="s">
        <v>22</v>
      </c>
      <c r="M236" s="4">
        <v>45193</v>
      </c>
      <c r="N236" s="5">
        <f t="shared" si="19"/>
        <v>119.98</v>
      </c>
      <c r="O236" s="3">
        <f t="shared" ca="1" si="15"/>
        <v>46143</v>
      </c>
      <c r="P236" s="8">
        <f t="shared" ca="1" si="16"/>
        <v>46143.95781284722</v>
      </c>
      <c r="Q236">
        <f t="shared" si="17"/>
        <v>541</v>
      </c>
      <c r="R236" s="3">
        <f t="shared" si="18"/>
        <v>45747</v>
      </c>
    </row>
    <row r="237" spans="1:18" ht="29.4" thickBot="1" x14ac:dyDescent="0.35">
      <c r="A237" s="2" t="s">
        <v>152</v>
      </c>
      <c r="B237" s="4">
        <v>45444</v>
      </c>
      <c r="C237" s="2" t="s">
        <v>55</v>
      </c>
      <c r="D237" s="2" t="s">
        <v>56</v>
      </c>
      <c r="E237" s="2" t="s">
        <v>117</v>
      </c>
      <c r="F237" s="2" t="s">
        <v>118</v>
      </c>
      <c r="G237" s="2" t="s">
        <v>19</v>
      </c>
      <c r="H237" s="21">
        <v>1</v>
      </c>
      <c r="I237" s="21">
        <v>89.99</v>
      </c>
      <c r="J237" s="2" t="s">
        <v>20</v>
      </c>
      <c r="K237" s="2" t="s">
        <v>40</v>
      </c>
      <c r="L237" s="2" t="s">
        <v>22</v>
      </c>
      <c r="M237" s="4">
        <v>45141</v>
      </c>
      <c r="N237" s="5">
        <f t="shared" si="19"/>
        <v>89.99</v>
      </c>
      <c r="O237" s="3">
        <f t="shared" ca="1" si="15"/>
        <v>46143</v>
      </c>
      <c r="P237" s="8">
        <f t="shared" ca="1" si="16"/>
        <v>46143.95781284722</v>
      </c>
      <c r="Q237">
        <f t="shared" si="17"/>
        <v>303</v>
      </c>
      <c r="R237" s="3">
        <f t="shared" si="18"/>
        <v>45473</v>
      </c>
    </row>
    <row r="238" spans="1:18" ht="29.4" thickBot="1" x14ac:dyDescent="0.35">
      <c r="A238" s="2" t="s">
        <v>157</v>
      </c>
      <c r="B238" s="4">
        <v>45449</v>
      </c>
      <c r="C238" s="2" t="s">
        <v>158</v>
      </c>
      <c r="D238" s="2" t="s">
        <v>159</v>
      </c>
      <c r="E238" s="2" t="s">
        <v>117</v>
      </c>
      <c r="F238" s="2" t="s">
        <v>118</v>
      </c>
      <c r="G238" s="2" t="s">
        <v>19</v>
      </c>
      <c r="H238" s="21">
        <v>1</v>
      </c>
      <c r="I238" s="21">
        <v>89.99</v>
      </c>
      <c r="J238" s="2" t="s">
        <v>26</v>
      </c>
      <c r="K238" s="2" t="s">
        <v>35</v>
      </c>
      <c r="L238" s="2" t="s">
        <v>36</v>
      </c>
      <c r="M238" s="4">
        <v>44582</v>
      </c>
      <c r="N238" s="5">
        <f t="shared" si="19"/>
        <v>89.99</v>
      </c>
      <c r="O238" s="3">
        <f t="shared" ca="1" si="15"/>
        <v>46143</v>
      </c>
      <c r="P238" s="8">
        <f t="shared" ca="1" si="16"/>
        <v>46143.95781284722</v>
      </c>
      <c r="Q238">
        <f t="shared" si="17"/>
        <v>867</v>
      </c>
      <c r="R238" s="3">
        <f t="shared" si="18"/>
        <v>45473</v>
      </c>
    </row>
    <row r="239" spans="1:18" ht="29.4" thickBot="1" x14ac:dyDescent="0.35">
      <c r="A239" s="2" t="s">
        <v>179</v>
      </c>
      <c r="B239" s="4">
        <v>45475</v>
      </c>
      <c r="C239" s="2" t="s">
        <v>55</v>
      </c>
      <c r="D239" s="2" t="s">
        <v>56</v>
      </c>
      <c r="E239" s="2" t="s">
        <v>117</v>
      </c>
      <c r="F239" s="2" t="s">
        <v>118</v>
      </c>
      <c r="G239" s="2" t="s">
        <v>19</v>
      </c>
      <c r="H239" s="21">
        <v>1</v>
      </c>
      <c r="I239" s="21">
        <v>89.99</v>
      </c>
      <c r="J239" s="2" t="s">
        <v>34</v>
      </c>
      <c r="K239" s="2" t="s">
        <v>50</v>
      </c>
      <c r="L239" s="2" t="s">
        <v>36</v>
      </c>
      <c r="M239" s="4">
        <v>44802</v>
      </c>
      <c r="N239" s="5">
        <f t="shared" si="19"/>
        <v>89.99</v>
      </c>
      <c r="O239" s="3">
        <f t="shared" ca="1" si="15"/>
        <v>46143</v>
      </c>
      <c r="P239" s="8">
        <f t="shared" ca="1" si="16"/>
        <v>46143.95781284722</v>
      </c>
      <c r="Q239">
        <f t="shared" si="17"/>
        <v>673</v>
      </c>
      <c r="R239" s="3">
        <f t="shared" si="18"/>
        <v>45504</v>
      </c>
    </row>
    <row r="240" spans="1:18" ht="29.4" thickBot="1" x14ac:dyDescent="0.35">
      <c r="A240" s="2" t="s">
        <v>180</v>
      </c>
      <c r="B240" s="4">
        <v>45476</v>
      </c>
      <c r="C240" s="2" t="s">
        <v>68</v>
      </c>
      <c r="D240" s="2" t="s">
        <v>69</v>
      </c>
      <c r="E240" s="2" t="s">
        <v>117</v>
      </c>
      <c r="F240" s="2" t="s">
        <v>118</v>
      </c>
      <c r="G240" s="2" t="s">
        <v>19</v>
      </c>
      <c r="H240" s="21">
        <v>1</v>
      </c>
      <c r="I240" s="21">
        <v>89.99</v>
      </c>
      <c r="J240" s="2" t="s">
        <v>20</v>
      </c>
      <c r="K240" s="2" t="s">
        <v>35</v>
      </c>
      <c r="L240" s="2" t="s">
        <v>36</v>
      </c>
      <c r="M240" s="4">
        <v>44611</v>
      </c>
      <c r="N240" s="5">
        <f t="shared" si="19"/>
        <v>89.99</v>
      </c>
      <c r="O240" s="3">
        <f t="shared" ca="1" si="15"/>
        <v>46143</v>
      </c>
      <c r="P240" s="8">
        <f t="shared" ca="1" si="16"/>
        <v>46143.95781284722</v>
      </c>
      <c r="Q240">
        <f t="shared" si="17"/>
        <v>865</v>
      </c>
      <c r="R240" s="3">
        <f t="shared" si="18"/>
        <v>45504</v>
      </c>
    </row>
    <row r="241" spans="1:18" ht="29.4" thickBot="1" x14ac:dyDescent="0.35">
      <c r="A241" s="2" t="s">
        <v>214</v>
      </c>
      <c r="B241" s="4">
        <v>45513</v>
      </c>
      <c r="C241" s="2" t="s">
        <v>89</v>
      </c>
      <c r="D241" s="2" t="s">
        <v>90</v>
      </c>
      <c r="E241" s="2" t="s">
        <v>117</v>
      </c>
      <c r="F241" s="2" t="s">
        <v>118</v>
      </c>
      <c r="G241" s="2" t="s">
        <v>19</v>
      </c>
      <c r="H241" s="21">
        <v>1</v>
      </c>
      <c r="I241" s="21">
        <v>89.99</v>
      </c>
      <c r="J241" s="2" t="s">
        <v>26</v>
      </c>
      <c r="K241" s="2" t="s">
        <v>40</v>
      </c>
      <c r="L241" s="2" t="s">
        <v>36</v>
      </c>
      <c r="M241" s="4">
        <v>45393</v>
      </c>
      <c r="N241" s="5">
        <f t="shared" si="19"/>
        <v>89.99</v>
      </c>
      <c r="O241" s="3">
        <f t="shared" ca="1" si="15"/>
        <v>46143</v>
      </c>
      <c r="P241" s="8">
        <f t="shared" ca="1" si="16"/>
        <v>46143.95781284722</v>
      </c>
      <c r="Q241">
        <f t="shared" si="17"/>
        <v>120</v>
      </c>
      <c r="R241" s="3">
        <f t="shared" si="18"/>
        <v>45535</v>
      </c>
    </row>
    <row r="242" spans="1:18" ht="29.4" thickBot="1" x14ac:dyDescent="0.35">
      <c r="A242" s="2" t="s">
        <v>312</v>
      </c>
      <c r="B242" s="4">
        <v>45645</v>
      </c>
      <c r="C242" s="2" t="s">
        <v>182</v>
      </c>
      <c r="D242" s="2" t="s">
        <v>183</v>
      </c>
      <c r="E242" s="2" t="s">
        <v>117</v>
      </c>
      <c r="F242" s="2" t="s">
        <v>118</v>
      </c>
      <c r="G242" s="2" t="s">
        <v>19</v>
      </c>
      <c r="H242" s="21">
        <v>1</v>
      </c>
      <c r="I242" s="21">
        <v>89.99</v>
      </c>
      <c r="J242" s="2" t="s">
        <v>57</v>
      </c>
      <c r="K242" s="2" t="s">
        <v>21</v>
      </c>
      <c r="L242" s="2" t="s">
        <v>36</v>
      </c>
      <c r="M242" s="4">
        <v>44760</v>
      </c>
      <c r="N242" s="5">
        <f t="shared" si="19"/>
        <v>89.99</v>
      </c>
      <c r="O242" s="3">
        <f t="shared" ca="1" si="15"/>
        <v>46143</v>
      </c>
      <c r="P242" s="8">
        <f t="shared" ca="1" si="16"/>
        <v>46143.95781284722</v>
      </c>
      <c r="Q242">
        <f t="shared" si="17"/>
        <v>885</v>
      </c>
      <c r="R242" s="3">
        <f t="shared" si="18"/>
        <v>45657</v>
      </c>
    </row>
    <row r="243" spans="1:18" ht="29.4" thickBot="1" x14ac:dyDescent="0.35">
      <c r="A243" s="2" t="s">
        <v>320</v>
      </c>
      <c r="B243" s="4">
        <v>45655</v>
      </c>
      <c r="C243" s="2" t="s">
        <v>59</v>
      </c>
      <c r="D243" s="2" t="s">
        <v>60</v>
      </c>
      <c r="E243" s="2" t="s">
        <v>117</v>
      </c>
      <c r="F243" s="2" t="s">
        <v>118</v>
      </c>
      <c r="G243" s="2" t="s">
        <v>19</v>
      </c>
      <c r="H243" s="21">
        <v>1</v>
      </c>
      <c r="I243" s="21">
        <v>89.99</v>
      </c>
      <c r="J243" s="2" t="s">
        <v>26</v>
      </c>
      <c r="K243" s="2" t="s">
        <v>35</v>
      </c>
      <c r="L243" s="2" t="s">
        <v>27</v>
      </c>
      <c r="M243" s="4">
        <v>44591</v>
      </c>
      <c r="N243" s="5">
        <f t="shared" si="19"/>
        <v>89.99</v>
      </c>
      <c r="O243" s="3">
        <f t="shared" ca="1" si="15"/>
        <v>46143</v>
      </c>
      <c r="P243" s="8">
        <f t="shared" ca="1" si="16"/>
        <v>46143.95781284722</v>
      </c>
      <c r="Q243">
        <f t="shared" si="17"/>
        <v>1064</v>
      </c>
      <c r="R243" s="3">
        <f t="shared" si="18"/>
        <v>45657</v>
      </c>
    </row>
    <row r="244" spans="1:18" ht="29.4" thickBot="1" x14ac:dyDescent="0.35">
      <c r="A244" s="2" t="s">
        <v>395</v>
      </c>
      <c r="B244" s="4">
        <v>45756</v>
      </c>
      <c r="C244" s="2" t="s">
        <v>59</v>
      </c>
      <c r="D244" s="2" t="s">
        <v>60</v>
      </c>
      <c r="E244" s="2" t="s">
        <v>117</v>
      </c>
      <c r="F244" s="2" t="s">
        <v>118</v>
      </c>
      <c r="G244" s="2" t="s">
        <v>19</v>
      </c>
      <c r="H244" s="21">
        <v>1</v>
      </c>
      <c r="I244" s="21">
        <v>89.99</v>
      </c>
      <c r="J244" s="2" t="s">
        <v>57</v>
      </c>
      <c r="K244" s="2" t="s">
        <v>63</v>
      </c>
      <c r="L244" s="2" t="s">
        <v>22</v>
      </c>
      <c r="M244" s="4">
        <v>45346</v>
      </c>
      <c r="N244" s="5">
        <f t="shared" si="19"/>
        <v>89.99</v>
      </c>
      <c r="O244" s="3">
        <f t="shared" ca="1" si="15"/>
        <v>46143</v>
      </c>
      <c r="P244" s="8">
        <f t="shared" ca="1" si="16"/>
        <v>46143.95781284722</v>
      </c>
      <c r="Q244">
        <f t="shared" si="17"/>
        <v>410</v>
      </c>
      <c r="R244" s="3">
        <f t="shared" si="18"/>
        <v>45777</v>
      </c>
    </row>
    <row r="245" spans="1:18" ht="29.4" thickBot="1" x14ac:dyDescent="0.35">
      <c r="A245" s="2" t="s">
        <v>146</v>
      </c>
      <c r="B245" s="4">
        <v>45443</v>
      </c>
      <c r="C245" s="2" t="s">
        <v>147</v>
      </c>
      <c r="D245" s="2" t="s">
        <v>148</v>
      </c>
      <c r="E245" s="2" t="s">
        <v>114</v>
      </c>
      <c r="F245" s="2" t="s">
        <v>115</v>
      </c>
      <c r="G245" s="2" t="s">
        <v>33</v>
      </c>
      <c r="H245" s="21">
        <v>1</v>
      </c>
      <c r="I245" s="21">
        <v>79.989999999999995</v>
      </c>
      <c r="J245" s="2" t="s">
        <v>20</v>
      </c>
      <c r="K245" s="2" t="s">
        <v>40</v>
      </c>
      <c r="L245" s="2" t="s">
        <v>36</v>
      </c>
      <c r="M245" s="4">
        <v>44917</v>
      </c>
      <c r="N245" s="5">
        <f t="shared" si="19"/>
        <v>79.989999999999995</v>
      </c>
      <c r="O245" s="3">
        <f t="shared" ca="1" si="15"/>
        <v>46143</v>
      </c>
      <c r="P245" s="8">
        <f t="shared" ca="1" si="16"/>
        <v>46143.95781284722</v>
      </c>
      <c r="Q245">
        <f t="shared" si="17"/>
        <v>526</v>
      </c>
      <c r="R245" s="3">
        <f t="shared" si="18"/>
        <v>45443</v>
      </c>
    </row>
    <row r="246" spans="1:18" ht="29.4" thickBot="1" x14ac:dyDescent="0.35">
      <c r="A246" s="2" t="s">
        <v>173</v>
      </c>
      <c r="B246" s="4">
        <v>45469</v>
      </c>
      <c r="C246" s="2" t="s">
        <v>29</v>
      </c>
      <c r="D246" s="2" t="s">
        <v>30</v>
      </c>
      <c r="E246" s="2" t="s">
        <v>114</v>
      </c>
      <c r="F246" s="2" t="s">
        <v>115</v>
      </c>
      <c r="G246" s="2" t="s">
        <v>33</v>
      </c>
      <c r="H246" s="21">
        <v>1</v>
      </c>
      <c r="I246" s="21">
        <v>79.989999999999995</v>
      </c>
      <c r="J246" s="2" t="s">
        <v>34</v>
      </c>
      <c r="K246" s="2" t="s">
        <v>21</v>
      </c>
      <c r="L246" s="2" t="s">
        <v>27</v>
      </c>
      <c r="M246" s="4">
        <v>45352</v>
      </c>
      <c r="N246" s="5">
        <f t="shared" si="19"/>
        <v>79.989999999999995</v>
      </c>
      <c r="O246" s="3">
        <f t="shared" ca="1" si="15"/>
        <v>46143</v>
      </c>
      <c r="P246" s="8">
        <f t="shared" ca="1" si="16"/>
        <v>46143.95781284722</v>
      </c>
      <c r="Q246">
        <f t="shared" si="17"/>
        <v>117</v>
      </c>
      <c r="R246" s="3">
        <f t="shared" si="18"/>
        <v>45473</v>
      </c>
    </row>
    <row r="247" spans="1:18" ht="29.4" thickBot="1" x14ac:dyDescent="0.35">
      <c r="A247" s="2" t="s">
        <v>242</v>
      </c>
      <c r="B247" s="4">
        <v>45545</v>
      </c>
      <c r="C247" s="2" t="s">
        <v>55</v>
      </c>
      <c r="D247" s="2" t="s">
        <v>56</v>
      </c>
      <c r="E247" s="2" t="s">
        <v>114</v>
      </c>
      <c r="F247" s="2" t="s">
        <v>115</v>
      </c>
      <c r="G247" s="2" t="s">
        <v>33</v>
      </c>
      <c r="H247" s="21">
        <v>1</v>
      </c>
      <c r="I247" s="21">
        <v>79.989999999999995</v>
      </c>
      <c r="J247" s="2" t="s">
        <v>20</v>
      </c>
      <c r="K247" s="2" t="s">
        <v>50</v>
      </c>
      <c r="L247" s="2" t="s">
        <v>22</v>
      </c>
      <c r="M247" s="4">
        <v>44693</v>
      </c>
      <c r="N247" s="5">
        <f t="shared" si="19"/>
        <v>79.989999999999995</v>
      </c>
      <c r="O247" s="3">
        <f t="shared" ca="1" si="15"/>
        <v>46143</v>
      </c>
      <c r="P247" s="8">
        <f t="shared" ca="1" si="16"/>
        <v>46143.95781284722</v>
      </c>
      <c r="Q247">
        <f t="shared" si="17"/>
        <v>852</v>
      </c>
      <c r="R247" s="3">
        <f t="shared" si="18"/>
        <v>45565</v>
      </c>
    </row>
    <row r="248" spans="1:18" ht="29.4" thickBot="1" x14ac:dyDescent="0.35">
      <c r="A248" s="2" t="s">
        <v>334</v>
      </c>
      <c r="B248" s="4">
        <v>45670</v>
      </c>
      <c r="C248" s="2" t="s">
        <v>293</v>
      </c>
      <c r="D248" s="2" t="s">
        <v>294</v>
      </c>
      <c r="E248" s="2" t="s">
        <v>114</v>
      </c>
      <c r="F248" s="2" t="s">
        <v>115</v>
      </c>
      <c r="G248" s="2" t="s">
        <v>33</v>
      </c>
      <c r="H248" s="21">
        <v>1</v>
      </c>
      <c r="I248" s="21">
        <v>79.989999999999995</v>
      </c>
      <c r="J248" s="2" t="s">
        <v>26</v>
      </c>
      <c r="K248" s="2" t="s">
        <v>35</v>
      </c>
      <c r="L248" s="2" t="s">
        <v>22</v>
      </c>
      <c r="M248" s="4">
        <v>45322</v>
      </c>
      <c r="N248" s="5">
        <f t="shared" si="19"/>
        <v>79.989999999999995</v>
      </c>
      <c r="O248" s="3">
        <f t="shared" ca="1" si="15"/>
        <v>46143</v>
      </c>
      <c r="P248" s="8">
        <f t="shared" ca="1" si="16"/>
        <v>46143.95781284722</v>
      </c>
      <c r="Q248">
        <f t="shared" si="17"/>
        <v>348</v>
      </c>
      <c r="R248" s="3">
        <f t="shared" si="18"/>
        <v>45688</v>
      </c>
    </row>
    <row r="249" spans="1:18" ht="29.4" thickBot="1" x14ac:dyDescent="0.35">
      <c r="A249" s="2" t="s">
        <v>168</v>
      </c>
      <c r="B249" s="4">
        <v>45460</v>
      </c>
      <c r="C249" s="2" t="s">
        <v>158</v>
      </c>
      <c r="D249" s="2" t="s">
        <v>159</v>
      </c>
      <c r="E249" s="2" t="s">
        <v>31</v>
      </c>
      <c r="F249" s="2" t="s">
        <v>32</v>
      </c>
      <c r="G249" s="2" t="s">
        <v>33</v>
      </c>
      <c r="H249" s="21">
        <v>1</v>
      </c>
      <c r="I249" s="21">
        <v>59.99</v>
      </c>
      <c r="J249" s="2" t="s">
        <v>57</v>
      </c>
      <c r="K249" s="2" t="s">
        <v>50</v>
      </c>
      <c r="L249" s="2" t="s">
        <v>27</v>
      </c>
      <c r="M249" s="4">
        <v>45190</v>
      </c>
      <c r="N249" s="5">
        <f t="shared" si="19"/>
        <v>59.99</v>
      </c>
      <c r="O249" s="3">
        <f t="shared" ca="1" si="15"/>
        <v>46143</v>
      </c>
      <c r="P249" s="8">
        <f t="shared" ca="1" si="16"/>
        <v>46143.95781284722</v>
      </c>
      <c r="Q249">
        <f t="shared" si="17"/>
        <v>270</v>
      </c>
      <c r="R249" s="3">
        <f t="shared" si="18"/>
        <v>45473</v>
      </c>
    </row>
    <row r="250" spans="1:18" ht="29.4" thickBot="1" x14ac:dyDescent="0.35">
      <c r="A250" s="2" t="s">
        <v>290</v>
      </c>
      <c r="B250" s="4">
        <v>45619</v>
      </c>
      <c r="C250" s="2" t="s">
        <v>192</v>
      </c>
      <c r="D250" s="2" t="s">
        <v>193</v>
      </c>
      <c r="E250" s="2" t="s">
        <v>31</v>
      </c>
      <c r="F250" s="2" t="s">
        <v>32</v>
      </c>
      <c r="G250" s="2" t="s">
        <v>33</v>
      </c>
      <c r="H250" s="21">
        <v>1</v>
      </c>
      <c r="I250" s="21">
        <v>59.99</v>
      </c>
      <c r="J250" s="2" t="s">
        <v>57</v>
      </c>
      <c r="K250" s="2" t="s">
        <v>50</v>
      </c>
      <c r="L250" s="2" t="s">
        <v>36</v>
      </c>
      <c r="M250" s="4">
        <v>44560</v>
      </c>
      <c r="N250" s="5">
        <f t="shared" si="19"/>
        <v>59.99</v>
      </c>
      <c r="O250" s="3">
        <f t="shared" ca="1" si="15"/>
        <v>46143</v>
      </c>
      <c r="P250" s="8">
        <f t="shared" ca="1" si="16"/>
        <v>46143.95781284722</v>
      </c>
      <c r="Q250">
        <f t="shared" si="17"/>
        <v>1059</v>
      </c>
      <c r="R250" s="3">
        <f t="shared" si="18"/>
        <v>45626</v>
      </c>
    </row>
    <row r="251" spans="1:18" ht="29.4" thickBot="1" x14ac:dyDescent="0.35">
      <c r="A251" s="2" t="s">
        <v>351</v>
      </c>
      <c r="B251" s="4">
        <v>45692</v>
      </c>
      <c r="C251" s="2" t="s">
        <v>325</v>
      </c>
      <c r="D251" s="2" t="s">
        <v>326</v>
      </c>
      <c r="E251" s="2" t="s">
        <v>31</v>
      </c>
      <c r="F251" s="2" t="s">
        <v>32</v>
      </c>
      <c r="G251" s="2" t="s">
        <v>33</v>
      </c>
      <c r="H251" s="21">
        <v>1</v>
      </c>
      <c r="I251" s="21">
        <v>59.99</v>
      </c>
      <c r="J251" s="2" t="s">
        <v>57</v>
      </c>
      <c r="K251" s="2" t="s">
        <v>21</v>
      </c>
      <c r="L251" s="2" t="s">
        <v>36</v>
      </c>
      <c r="M251" s="4">
        <v>45045</v>
      </c>
      <c r="N251" s="5">
        <f t="shared" si="19"/>
        <v>59.99</v>
      </c>
      <c r="O251" s="3">
        <f t="shared" ca="1" si="15"/>
        <v>46143</v>
      </c>
      <c r="P251" s="8">
        <f t="shared" ca="1" si="16"/>
        <v>46143.95781284722</v>
      </c>
      <c r="Q251">
        <f t="shared" si="17"/>
        <v>647</v>
      </c>
      <c r="R251" s="3">
        <f t="shared" si="18"/>
        <v>45716</v>
      </c>
    </row>
  </sheetData>
  <scenarios current="0" show="0">
    <scenario name="Sales Increase" locked="1" count="2" user="SUBHASH LAMBA">
      <inputCells r="H2" val="50"/>
      <inputCells r="I2" val="899.99"/>
    </scenario>
  </scenarios>
  <sortState xmlns:xlrd2="http://schemas.microsoft.com/office/spreadsheetml/2017/richdata2" ref="A2:R251">
    <sortCondition descending="1" ref="N2:N251"/>
  </sortState>
  <conditionalFormatting sqref="N1:N1048576">
    <cfRule type="iconSet" priority="1">
      <iconSet iconSet="3Arrows">
        <cfvo type="percent" val="0"/>
        <cfvo type="percent" val="33"/>
        <cfvo type="percent" val="67"/>
      </iconSet>
    </cfRule>
    <cfRule type="top10" dxfId="3" priority="2" rank="10"/>
    <cfRule type="top10" dxfId="2" priority="3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561F-38EC-404D-A65D-97C4E1564089}">
  <dimension ref="A1:D29"/>
  <sheetViews>
    <sheetView topLeftCell="A16" workbookViewId="0">
      <selection activeCell="A30" sqref="A30"/>
    </sheetView>
  </sheetViews>
  <sheetFormatPr defaultRowHeight="14.4" x14ac:dyDescent="0.3"/>
  <cols>
    <col min="1" max="1" width="64.88671875" bestFit="1" customWidth="1"/>
    <col min="2" max="2" width="12.44140625" bestFit="1" customWidth="1"/>
    <col min="3" max="3" width="10.5546875" bestFit="1" customWidth="1"/>
    <col min="4" max="4" width="11.77734375" bestFit="1" customWidth="1"/>
    <col min="5" max="5" width="9" bestFit="1" customWidth="1"/>
    <col min="6" max="6" width="11.44140625" bestFit="1" customWidth="1"/>
    <col min="7" max="7" width="10.5546875" bestFit="1" customWidth="1"/>
    <col min="8" max="9" width="9" bestFit="1" customWidth="1"/>
    <col min="10" max="10" width="10.77734375" bestFit="1" customWidth="1"/>
    <col min="11" max="11" width="11.21875" bestFit="1" customWidth="1"/>
    <col min="12" max="12" width="10.5546875" bestFit="1" customWidth="1"/>
  </cols>
  <sheetData>
    <row r="1" spans="1:4" x14ac:dyDescent="0.3">
      <c r="A1" s="20" t="s">
        <v>430</v>
      </c>
    </row>
    <row r="2" spans="1:4" x14ac:dyDescent="0.3">
      <c r="A2" t="str">
        <f>INDEX(Sheet1!$D$2:$D$252,MATCH(MAX(Sheet1!$N$2:$N$251),Sheet1!$N$2:$N$251,0))</f>
        <v>Paul Baker</v>
      </c>
    </row>
    <row r="4" spans="1:4" x14ac:dyDescent="0.3">
      <c r="A4" s="20" t="s">
        <v>435</v>
      </c>
    </row>
    <row r="5" spans="1:4" x14ac:dyDescent="0.3">
      <c r="A5" t="str" cm="1">
        <f t="array" ref="A5">INDEX(Sheet1!F2:F251,MODE(MATCH(Sheet1!E2:E251,Sheet1!E2:E251,0)))</f>
        <v>Bookshelf</v>
      </c>
    </row>
    <row r="7" spans="1:4" x14ac:dyDescent="0.3">
      <c r="A7" s="20" t="s">
        <v>436</v>
      </c>
    </row>
    <row r="8" spans="1:4" x14ac:dyDescent="0.3">
      <c r="A8" s="9" t="s">
        <v>437</v>
      </c>
      <c r="B8" s="9" t="s">
        <v>450</v>
      </c>
      <c r="D8" s="20" t="s">
        <v>455</v>
      </c>
    </row>
    <row r="9" spans="1:4" x14ac:dyDescent="0.3">
      <c r="A9" s="10" t="s">
        <v>438</v>
      </c>
      <c r="B9" s="10" t="s">
        <v>447</v>
      </c>
      <c r="D9" t="str">
        <f>IF(COUNTIF($A$9:$A$20,B9)&gt;0,B9,"NO MATCH")</f>
        <v>Kabir</v>
      </c>
    </row>
    <row r="10" spans="1:4" x14ac:dyDescent="0.3">
      <c r="A10" s="10" t="s">
        <v>439</v>
      </c>
      <c r="B10" s="10" t="s">
        <v>451</v>
      </c>
      <c r="D10" t="str">
        <f t="shared" ref="D10:D20" si="0">IF(COUNTIF($A$9:$A$20,B10)&gt;0,B10,"NO MATCH")</f>
        <v>NO MATCH</v>
      </c>
    </row>
    <row r="11" spans="1:4" x14ac:dyDescent="0.3">
      <c r="A11" s="10" t="s">
        <v>440</v>
      </c>
      <c r="B11" s="10" t="s">
        <v>443</v>
      </c>
      <c r="D11" t="str">
        <f t="shared" si="0"/>
        <v>Sai</v>
      </c>
    </row>
    <row r="12" spans="1:4" x14ac:dyDescent="0.3">
      <c r="A12" s="10" t="s">
        <v>441</v>
      </c>
      <c r="B12" s="10" t="s">
        <v>448</v>
      </c>
      <c r="D12" t="str">
        <f t="shared" si="0"/>
        <v>Rohan</v>
      </c>
    </row>
    <row r="13" spans="1:4" x14ac:dyDescent="0.3">
      <c r="A13" s="10" t="s">
        <v>442</v>
      </c>
      <c r="B13" s="10" t="s">
        <v>452</v>
      </c>
      <c r="D13" t="str">
        <f t="shared" si="0"/>
        <v>NO MATCH</v>
      </c>
    </row>
    <row r="14" spans="1:4" x14ac:dyDescent="0.3">
      <c r="A14" s="10" t="s">
        <v>443</v>
      </c>
      <c r="B14" s="10" t="s">
        <v>442</v>
      </c>
      <c r="D14" t="str">
        <f t="shared" si="0"/>
        <v>Arjun</v>
      </c>
    </row>
    <row r="15" spans="1:4" x14ac:dyDescent="0.3">
      <c r="A15" s="10" t="s">
        <v>444</v>
      </c>
      <c r="B15" s="10" t="s">
        <v>453</v>
      </c>
      <c r="D15" t="str">
        <f t="shared" si="0"/>
        <v>NO MATCH</v>
      </c>
    </row>
    <row r="16" spans="1:4" x14ac:dyDescent="0.3">
      <c r="A16" s="10" t="s">
        <v>445</v>
      </c>
      <c r="B16" s="10" t="s">
        <v>446</v>
      </c>
      <c r="D16" t="str">
        <f t="shared" si="0"/>
        <v>Ishan</v>
      </c>
    </row>
    <row r="17" spans="1:4" x14ac:dyDescent="0.3">
      <c r="A17" s="10" t="s">
        <v>446</v>
      </c>
      <c r="B17" s="10" t="s">
        <v>454</v>
      </c>
      <c r="D17" t="str">
        <f t="shared" si="0"/>
        <v>NO MATCH</v>
      </c>
    </row>
    <row r="18" spans="1:4" x14ac:dyDescent="0.3">
      <c r="A18" s="10" t="s">
        <v>447</v>
      </c>
      <c r="B18" s="10" t="s">
        <v>440</v>
      </c>
      <c r="D18" t="str">
        <f t="shared" si="0"/>
        <v>Aditya</v>
      </c>
    </row>
    <row r="19" spans="1:4" x14ac:dyDescent="0.3">
      <c r="A19" s="10" t="s">
        <v>448</v>
      </c>
      <c r="B19" s="10" t="s">
        <v>456</v>
      </c>
      <c r="D19" t="str">
        <f t="shared" si="0"/>
        <v>NO MATCH</v>
      </c>
    </row>
    <row r="20" spans="1:4" x14ac:dyDescent="0.3">
      <c r="A20" s="10" t="s">
        <v>449</v>
      </c>
      <c r="B20" s="10" t="s">
        <v>457</v>
      </c>
      <c r="D20" t="str">
        <f t="shared" si="0"/>
        <v>NO MATCH</v>
      </c>
    </row>
    <row r="22" spans="1:4" x14ac:dyDescent="0.3">
      <c r="A22" s="20" t="s">
        <v>458</v>
      </c>
    </row>
    <row r="23" spans="1:4" x14ac:dyDescent="0.3">
      <c r="A23" t="str" cm="1">
        <f t="array" ref="A23">_xlfn.TEXTJOIN("",TRUE,LEFT(_xlfn.TEXTSPLIT(Sheet1!D2," "),1))</f>
        <v>PB</v>
      </c>
    </row>
    <row r="24" spans="1:4" x14ac:dyDescent="0.3">
      <c r="A24" t="str" cm="1">
        <f t="array" ref="A24">_xlfn.TEXTJOIN("",TRUE,LEFT(_xlfn.TEXTSPLIT(Sheet1!D3," "),1))</f>
        <v>EM</v>
      </c>
    </row>
    <row r="25" spans="1:4" x14ac:dyDescent="0.3">
      <c r="A25" t="str" cm="1">
        <f t="array" ref="A25">_xlfn.TEXTJOIN("",TRUE,LEFT(_xlfn.TEXTSPLIT(Sheet1!D4," "),1))</f>
        <v>JJ</v>
      </c>
    </row>
    <row r="26" spans="1:4" x14ac:dyDescent="0.3">
      <c r="A26" t="str" cm="1">
        <f t="array" ref="A26">_xlfn.TEXTJOIN("",TRUE,LEFT(_xlfn.TEXTSPLIT(Sheet1!D5," "),1))</f>
        <v>GM</v>
      </c>
    </row>
    <row r="27" spans="1:4" x14ac:dyDescent="0.3">
      <c r="A27" t="str" cm="1">
        <f t="array" ref="A27">_xlfn.TEXTJOIN("",TRUE,LEFT(_xlfn.TEXTSPLIT(Sheet1!D6," "),1))</f>
        <v>DK</v>
      </c>
    </row>
    <row r="28" spans="1:4" x14ac:dyDescent="0.3">
      <c r="A28" t="str" cm="1">
        <f t="array" ref="A28">_xlfn.TEXTJOIN("",TRUE,LEFT(_xlfn.TEXTSPLIT(Sheet1!D7," "),1))</f>
        <v>HM</v>
      </c>
    </row>
    <row r="29" spans="1:4" x14ac:dyDescent="0.3">
      <c r="A29" t="str" cm="1">
        <f t="array" ref="A29">_xlfn.TEXTJOIN("",TRUE,LEFT(_xlfn.TEXTSPLIT(Sheet1!D8," "),1))</f>
        <v>MC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3AD1-A222-460C-84E0-E313A1AE2653}">
  <dimension ref="A1:L35"/>
  <sheetViews>
    <sheetView topLeftCell="A16" workbookViewId="0">
      <selection activeCell="A31" sqref="A31:G35"/>
    </sheetView>
  </sheetViews>
  <sheetFormatPr defaultRowHeight="14.4" x14ac:dyDescent="0.3"/>
  <cols>
    <col min="1" max="1" width="18.5546875" bestFit="1" customWidth="1"/>
    <col min="2" max="2" width="15.5546875" bestFit="1" customWidth="1"/>
    <col min="3" max="6" width="9" bestFit="1" customWidth="1"/>
    <col min="7" max="7" width="10.5546875" bestFit="1" customWidth="1"/>
    <col min="8" max="9" width="9" bestFit="1" customWidth="1"/>
    <col min="10" max="10" width="10.77734375" bestFit="1" customWidth="1"/>
    <col min="11" max="11" width="11.21875" bestFit="1" customWidth="1"/>
    <col min="12" max="12" width="10.5546875" bestFit="1" customWidth="1"/>
  </cols>
  <sheetData>
    <row r="1" spans="1:7" x14ac:dyDescent="0.3">
      <c r="A1" s="22" t="s">
        <v>434</v>
      </c>
      <c r="B1" s="22" t="s">
        <v>433</v>
      </c>
    </row>
    <row r="2" spans="1:7" x14ac:dyDescent="0.3">
      <c r="A2" s="22" t="s">
        <v>431</v>
      </c>
      <c r="B2" t="s">
        <v>21</v>
      </c>
      <c r="C2" t="s">
        <v>63</v>
      </c>
      <c r="D2" t="s">
        <v>40</v>
      </c>
      <c r="E2" t="s">
        <v>35</v>
      </c>
      <c r="F2" t="s">
        <v>50</v>
      </c>
      <c r="G2" t="s">
        <v>432</v>
      </c>
    </row>
    <row r="3" spans="1:7" x14ac:dyDescent="0.3">
      <c r="A3" s="23" t="s">
        <v>33</v>
      </c>
      <c r="B3">
        <v>1999.71</v>
      </c>
      <c r="C3">
        <v>2239.6699999999996</v>
      </c>
      <c r="D3">
        <v>1119.8399999999999</v>
      </c>
      <c r="E3">
        <v>1099.83</v>
      </c>
      <c r="F3">
        <v>1879.69</v>
      </c>
      <c r="G3">
        <v>8338.74</v>
      </c>
    </row>
    <row r="4" spans="1:7" x14ac:dyDescent="0.3">
      <c r="A4" s="23" t="s">
        <v>19</v>
      </c>
      <c r="B4">
        <v>24889.330000000009</v>
      </c>
      <c r="C4">
        <v>50649.009999999987</v>
      </c>
      <c r="D4">
        <v>39239.040000000001</v>
      </c>
      <c r="E4">
        <v>25549.320000000003</v>
      </c>
      <c r="F4">
        <v>31429.350000000009</v>
      </c>
      <c r="G4">
        <v>171756.05000000002</v>
      </c>
    </row>
    <row r="5" spans="1:7" x14ac:dyDescent="0.3">
      <c r="A5" s="23" t="s">
        <v>46</v>
      </c>
      <c r="B5">
        <v>14399.299999999997</v>
      </c>
      <c r="C5">
        <v>6399.7099999999991</v>
      </c>
      <c r="D5">
        <v>10449.429999999998</v>
      </c>
      <c r="E5">
        <v>9749.5999999999985</v>
      </c>
      <c r="F5">
        <v>8099.6399999999994</v>
      </c>
      <c r="G5">
        <v>49097.679999999993</v>
      </c>
    </row>
    <row r="6" spans="1:7" x14ac:dyDescent="0.3">
      <c r="A6" s="23" t="s">
        <v>432</v>
      </c>
      <c r="B6">
        <v>41288.340000000004</v>
      </c>
      <c r="C6">
        <v>59288.389999999985</v>
      </c>
      <c r="D6">
        <v>50808.31</v>
      </c>
      <c r="E6">
        <v>36398.75</v>
      </c>
      <c r="F6">
        <v>41408.680000000008</v>
      </c>
      <c r="G6">
        <v>229192.47</v>
      </c>
    </row>
    <row r="9" spans="1:7" x14ac:dyDescent="0.3">
      <c r="A9" s="22" t="s">
        <v>434</v>
      </c>
      <c r="B9" s="22" t="s">
        <v>433</v>
      </c>
    </row>
    <row r="10" spans="1:7" x14ac:dyDescent="0.3">
      <c r="A10" s="22" t="s">
        <v>431</v>
      </c>
      <c r="B10" t="s">
        <v>20</v>
      </c>
      <c r="C10" t="s">
        <v>26</v>
      </c>
      <c r="D10" t="s">
        <v>57</v>
      </c>
      <c r="E10" t="s">
        <v>34</v>
      </c>
      <c r="F10" t="s">
        <v>432</v>
      </c>
    </row>
    <row r="11" spans="1:7" x14ac:dyDescent="0.3">
      <c r="A11" s="23" t="s">
        <v>32</v>
      </c>
      <c r="B11">
        <v>2039.66</v>
      </c>
      <c r="C11">
        <v>779.87</v>
      </c>
      <c r="D11">
        <v>1739.71</v>
      </c>
      <c r="E11">
        <v>659.89</v>
      </c>
      <c r="F11">
        <v>5219.13</v>
      </c>
    </row>
    <row r="12" spans="1:7" x14ac:dyDescent="0.3">
      <c r="A12" s="23" t="s">
        <v>45</v>
      </c>
      <c r="B12">
        <v>4799.68</v>
      </c>
      <c r="C12">
        <v>3899.7400000000007</v>
      </c>
      <c r="D12">
        <v>2699.8200000000006</v>
      </c>
      <c r="E12">
        <v>3899.7400000000007</v>
      </c>
      <c r="F12">
        <v>15298.980000000003</v>
      </c>
    </row>
    <row r="13" spans="1:7" x14ac:dyDescent="0.3">
      <c r="A13" s="23" t="s">
        <v>115</v>
      </c>
      <c r="B13">
        <v>1199.8499999999999</v>
      </c>
      <c r="C13">
        <v>639.91999999999996</v>
      </c>
      <c r="D13">
        <v>959.87999999999988</v>
      </c>
      <c r="E13">
        <v>319.95999999999998</v>
      </c>
      <c r="F13">
        <v>3119.6099999999997</v>
      </c>
    </row>
    <row r="14" spans="1:7" x14ac:dyDescent="0.3">
      <c r="A14" s="23" t="s">
        <v>106</v>
      </c>
      <c r="B14">
        <v>8099.73</v>
      </c>
      <c r="C14">
        <v>8999.7000000000007</v>
      </c>
      <c r="D14">
        <v>3599.88</v>
      </c>
      <c r="E14">
        <v>2699.9100000000003</v>
      </c>
      <c r="F14">
        <v>23399.22</v>
      </c>
    </row>
    <row r="15" spans="1:7" x14ac:dyDescent="0.3">
      <c r="A15" s="23" t="s">
        <v>53</v>
      </c>
      <c r="B15">
        <v>2249.8500000000004</v>
      </c>
      <c r="C15">
        <v>1649.89</v>
      </c>
      <c r="D15">
        <v>1499.9</v>
      </c>
      <c r="E15">
        <v>1649.89</v>
      </c>
      <c r="F15">
        <v>7049.5300000000016</v>
      </c>
    </row>
    <row r="16" spans="1:7" x14ac:dyDescent="0.3">
      <c r="A16" s="23" t="s">
        <v>118</v>
      </c>
      <c r="B16">
        <v>1439.84</v>
      </c>
      <c r="C16">
        <v>2429.7299999999991</v>
      </c>
      <c r="D16">
        <v>2069.77</v>
      </c>
      <c r="E16">
        <v>2069.77</v>
      </c>
      <c r="F16">
        <v>8009.1099999999988</v>
      </c>
    </row>
    <row r="17" spans="1:12" x14ac:dyDescent="0.3">
      <c r="A17" s="23" t="s">
        <v>62</v>
      </c>
      <c r="B17">
        <v>8099.91</v>
      </c>
      <c r="C17">
        <v>16199.82</v>
      </c>
      <c r="D17">
        <v>20699.77</v>
      </c>
      <c r="E17">
        <v>22499.750000000007</v>
      </c>
      <c r="F17">
        <v>67499.25</v>
      </c>
    </row>
    <row r="18" spans="1:12" x14ac:dyDescent="0.3">
      <c r="A18" s="23" t="s">
        <v>18</v>
      </c>
      <c r="B18">
        <v>4499.82</v>
      </c>
      <c r="C18">
        <v>10749.569999999998</v>
      </c>
      <c r="D18">
        <v>2249.91</v>
      </c>
      <c r="E18">
        <v>4499.82</v>
      </c>
      <c r="F18">
        <v>21999.119999999995</v>
      </c>
    </row>
    <row r="19" spans="1:12" x14ac:dyDescent="0.3">
      <c r="A19" s="23" t="s">
        <v>127</v>
      </c>
      <c r="B19">
        <v>5399.73</v>
      </c>
      <c r="C19">
        <v>1399.93</v>
      </c>
      <c r="D19">
        <v>2599.87</v>
      </c>
      <c r="E19">
        <v>999.95</v>
      </c>
      <c r="F19">
        <v>10399.48</v>
      </c>
    </row>
    <row r="20" spans="1:12" x14ac:dyDescent="0.3">
      <c r="A20" s="23" t="s">
        <v>81</v>
      </c>
      <c r="B20">
        <v>19599.72</v>
      </c>
      <c r="C20">
        <v>14699.79</v>
      </c>
      <c r="D20">
        <v>13999.8</v>
      </c>
      <c r="E20">
        <v>18899.730000000003</v>
      </c>
      <c r="F20">
        <v>67199.040000000008</v>
      </c>
    </row>
    <row r="21" spans="1:12" x14ac:dyDescent="0.3">
      <c r="A21" s="23" t="s">
        <v>432</v>
      </c>
      <c r="B21">
        <v>57427.79</v>
      </c>
      <c r="C21">
        <v>61447.96</v>
      </c>
      <c r="D21">
        <v>52118.31</v>
      </c>
      <c r="E21">
        <v>58198.410000000011</v>
      </c>
      <c r="F21">
        <v>229192.47000000003</v>
      </c>
    </row>
    <row r="23" spans="1:12" x14ac:dyDescent="0.3">
      <c r="A23" s="22" t="s">
        <v>434</v>
      </c>
      <c r="B23" s="22" t="s">
        <v>433</v>
      </c>
    </row>
    <row r="24" spans="1:12" x14ac:dyDescent="0.3">
      <c r="A24" s="22" t="s">
        <v>431</v>
      </c>
      <c r="B24" t="s">
        <v>32</v>
      </c>
      <c r="C24" t="s">
        <v>45</v>
      </c>
      <c r="D24" t="s">
        <v>115</v>
      </c>
      <c r="E24" t="s">
        <v>106</v>
      </c>
      <c r="F24" t="s">
        <v>53</v>
      </c>
      <c r="G24" t="s">
        <v>118</v>
      </c>
      <c r="H24" t="s">
        <v>62</v>
      </c>
      <c r="I24" t="s">
        <v>18</v>
      </c>
      <c r="J24" t="s">
        <v>127</v>
      </c>
      <c r="K24" t="s">
        <v>81</v>
      </c>
      <c r="L24" t="s">
        <v>432</v>
      </c>
    </row>
    <row r="25" spans="1:12" x14ac:dyDescent="0.3">
      <c r="A25" s="23" t="s">
        <v>22</v>
      </c>
      <c r="B25">
        <v>1139.81</v>
      </c>
      <c r="C25">
        <v>4949.67</v>
      </c>
      <c r="D25">
        <v>1679.79</v>
      </c>
      <c r="E25">
        <v>11699.609999999999</v>
      </c>
      <c r="F25">
        <v>2099.86</v>
      </c>
      <c r="G25">
        <v>2159.7599999999998</v>
      </c>
      <c r="H25">
        <v>15299.830000000002</v>
      </c>
      <c r="I25">
        <v>3749.85</v>
      </c>
      <c r="J25">
        <v>2599.8700000000003</v>
      </c>
      <c r="K25">
        <v>16799.760000000002</v>
      </c>
      <c r="L25">
        <v>62177.810000000005</v>
      </c>
    </row>
    <row r="26" spans="1:12" x14ac:dyDescent="0.3">
      <c r="A26" s="23" t="s">
        <v>27</v>
      </c>
      <c r="B26">
        <v>1379.77</v>
      </c>
      <c r="C26">
        <v>5999.5999999999985</v>
      </c>
      <c r="D26">
        <v>799.89999999999986</v>
      </c>
      <c r="E26">
        <v>5999.8000000000011</v>
      </c>
      <c r="F26">
        <v>2999.8</v>
      </c>
      <c r="G26">
        <v>4679.4799999999977</v>
      </c>
      <c r="H26">
        <v>17099.810000000001</v>
      </c>
      <c r="I26">
        <v>9499.619999999999</v>
      </c>
      <c r="J26">
        <v>3999.8000000000006</v>
      </c>
      <c r="K26">
        <v>32199.54</v>
      </c>
      <c r="L26">
        <v>84657.12</v>
      </c>
    </row>
    <row r="27" spans="1:12" x14ac:dyDescent="0.3">
      <c r="A27" s="23" t="s">
        <v>36</v>
      </c>
      <c r="B27">
        <v>2699.5499999999997</v>
      </c>
      <c r="C27">
        <v>4349.71</v>
      </c>
      <c r="D27">
        <v>639.91999999999996</v>
      </c>
      <c r="E27">
        <v>5699.8100000000013</v>
      </c>
      <c r="F27">
        <v>1949.8700000000001</v>
      </c>
      <c r="G27">
        <v>1169.8699999999999</v>
      </c>
      <c r="H27">
        <v>35099.61</v>
      </c>
      <c r="I27">
        <v>8749.65</v>
      </c>
      <c r="J27">
        <v>3799.8100000000004</v>
      </c>
      <c r="K27">
        <v>18199.739999999998</v>
      </c>
      <c r="L27">
        <v>82357.540000000008</v>
      </c>
    </row>
    <row r="28" spans="1:12" x14ac:dyDescent="0.3">
      <c r="A28" s="23" t="s">
        <v>432</v>
      </c>
      <c r="B28">
        <v>5219.1299999999992</v>
      </c>
      <c r="C28">
        <v>15298.98</v>
      </c>
      <c r="D28">
        <v>3119.6099999999997</v>
      </c>
      <c r="E28">
        <v>23399.22</v>
      </c>
      <c r="F28">
        <v>7049.53</v>
      </c>
      <c r="G28">
        <v>8009.1099999999979</v>
      </c>
      <c r="H28">
        <v>67499.25</v>
      </c>
      <c r="I28">
        <v>21999.119999999999</v>
      </c>
      <c r="J28">
        <v>10399.480000000001</v>
      </c>
      <c r="K28">
        <v>67199.040000000008</v>
      </c>
      <c r="L28">
        <v>229192.47</v>
      </c>
    </row>
    <row r="30" spans="1:12" x14ac:dyDescent="0.3">
      <c r="A30" s="22" t="s">
        <v>434</v>
      </c>
      <c r="B30" s="22" t="s">
        <v>433</v>
      </c>
    </row>
    <row r="31" spans="1:12" x14ac:dyDescent="0.3">
      <c r="A31" s="22" t="s">
        <v>431</v>
      </c>
      <c r="B31" t="s">
        <v>21</v>
      </c>
      <c r="C31" t="s">
        <v>63</v>
      </c>
      <c r="D31" t="s">
        <v>40</v>
      </c>
      <c r="E31" t="s">
        <v>35</v>
      </c>
      <c r="F31" t="s">
        <v>50</v>
      </c>
      <c r="G31" t="s">
        <v>432</v>
      </c>
    </row>
    <row r="32" spans="1:12" x14ac:dyDescent="0.3">
      <c r="A32" s="23" t="s">
        <v>22</v>
      </c>
      <c r="B32" s="33">
        <v>16339.399999999996</v>
      </c>
      <c r="C32" s="33">
        <v>9319.68</v>
      </c>
      <c r="D32" s="33">
        <v>14799.51</v>
      </c>
      <c r="E32" s="33">
        <v>10419.539999999995</v>
      </c>
      <c r="F32" s="33">
        <v>11299.679999999995</v>
      </c>
      <c r="G32" s="33">
        <v>62177.809999999983</v>
      </c>
    </row>
    <row r="33" spans="1:7" x14ac:dyDescent="0.3">
      <c r="A33" s="23" t="s">
        <v>27</v>
      </c>
      <c r="B33" s="33">
        <v>15479.349999999995</v>
      </c>
      <c r="C33" s="33">
        <v>26009.430000000004</v>
      </c>
      <c r="D33" s="33">
        <v>26569.110000000019</v>
      </c>
      <c r="E33" s="33">
        <v>6499.7399999999989</v>
      </c>
      <c r="F33" s="33">
        <v>10099.49</v>
      </c>
      <c r="G33" s="33">
        <v>84657.120000000024</v>
      </c>
    </row>
    <row r="34" spans="1:7" x14ac:dyDescent="0.3">
      <c r="A34" s="23" t="s">
        <v>36</v>
      </c>
      <c r="B34" s="33">
        <v>9469.5899999999983</v>
      </c>
      <c r="C34" s="33">
        <v>23959.28000000001</v>
      </c>
      <c r="D34" s="33">
        <v>9439.6899999999987</v>
      </c>
      <c r="E34" s="33">
        <v>19479.470000000005</v>
      </c>
      <c r="F34" s="33">
        <v>20009.510000000006</v>
      </c>
      <c r="G34" s="33">
        <v>82357.540000000023</v>
      </c>
    </row>
    <row r="35" spans="1:7" x14ac:dyDescent="0.3">
      <c r="A35" s="23" t="s">
        <v>432</v>
      </c>
      <c r="B35" s="33">
        <v>41288.339999999989</v>
      </c>
      <c r="C35" s="33">
        <v>59288.390000000014</v>
      </c>
      <c r="D35" s="33">
        <v>50808.310000000012</v>
      </c>
      <c r="E35" s="33">
        <v>36398.75</v>
      </c>
      <c r="F35" s="33">
        <v>41408.68</v>
      </c>
      <c r="G35" s="33">
        <v>229192.47000000003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12AB-D792-43F0-812C-42AEF4CEE0BD}">
  <dimension ref="H1:O3"/>
  <sheetViews>
    <sheetView showGridLines="0" tabSelected="1" topLeftCell="A28" workbookViewId="0">
      <selection activeCell="L40" sqref="L40"/>
    </sheetView>
  </sheetViews>
  <sheetFormatPr defaultRowHeight="14.4" x14ac:dyDescent="0.3"/>
  <cols>
    <col min="1" max="16384" width="8.88671875" style="30"/>
  </cols>
  <sheetData>
    <row r="1" spans="8:15" x14ac:dyDescent="0.3">
      <c r="H1" s="31" t="s">
        <v>459</v>
      </c>
      <c r="I1" s="32"/>
      <c r="J1" s="32"/>
      <c r="K1" s="32"/>
      <c r="L1" s="32"/>
      <c r="M1" s="32"/>
      <c r="N1" s="32"/>
      <c r="O1" s="32"/>
    </row>
    <row r="2" spans="8:15" x14ac:dyDescent="0.3">
      <c r="H2" s="32"/>
      <c r="I2" s="32"/>
      <c r="J2" s="32"/>
      <c r="K2" s="32"/>
      <c r="L2" s="32"/>
      <c r="M2" s="32"/>
      <c r="N2" s="32"/>
      <c r="O2" s="32"/>
    </row>
    <row r="3" spans="8:15" x14ac:dyDescent="0.3">
      <c r="H3" s="32"/>
      <c r="I3" s="32"/>
      <c r="J3" s="32"/>
      <c r="K3" s="32"/>
      <c r="L3" s="32"/>
      <c r="M3" s="32"/>
      <c r="N3" s="32"/>
      <c r="O3" s="32"/>
    </row>
  </sheetData>
  <mergeCells count="1">
    <mergeCell ref="H1:O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36EB-6620-4FC9-B4B1-4734F28ACDE8}">
  <dimension ref="A1:P18"/>
  <sheetViews>
    <sheetView topLeftCell="A4" workbookViewId="0">
      <selection activeCell="D8" sqref="D8"/>
    </sheetView>
  </sheetViews>
  <sheetFormatPr defaultRowHeight="14.4" x14ac:dyDescent="0.3"/>
  <cols>
    <col min="1" max="1" width="7.5546875" bestFit="1" customWidth="1"/>
    <col min="2" max="2" width="8.5546875" bestFit="1" customWidth="1"/>
    <col min="3" max="3" width="6.88671875" bestFit="1" customWidth="1"/>
    <col min="4" max="4" width="11.5546875" bestFit="1" customWidth="1"/>
    <col min="9" max="9" width="12.6640625" bestFit="1" customWidth="1"/>
    <col min="10" max="10" width="8" bestFit="1" customWidth="1"/>
    <col min="11" max="11" width="12" bestFit="1" customWidth="1"/>
  </cols>
  <sheetData>
    <row r="1" spans="1:16" ht="28.8" x14ac:dyDescent="0.3">
      <c r="A1" s="9" t="s">
        <v>411</v>
      </c>
      <c r="B1" s="9" t="s">
        <v>428</v>
      </c>
      <c r="C1" s="9" t="s">
        <v>412</v>
      </c>
      <c r="D1" s="9" t="s">
        <v>429</v>
      </c>
    </row>
    <row r="2" spans="1:16" x14ac:dyDescent="0.3">
      <c r="A2" s="10">
        <v>800</v>
      </c>
      <c r="B2" s="10">
        <v>2</v>
      </c>
      <c r="C2" s="10">
        <v>10</v>
      </c>
      <c r="D2" s="10">
        <v>40</v>
      </c>
      <c r="I2" s="25" t="s">
        <v>413</v>
      </c>
      <c r="J2" s="25"/>
      <c r="K2" s="25"/>
      <c r="L2" s="25"/>
      <c r="M2" s="25"/>
      <c r="N2" s="25"/>
      <c r="O2" s="25"/>
      <c r="P2" s="25"/>
    </row>
    <row r="3" spans="1:16" ht="72" x14ac:dyDescent="0.3">
      <c r="A3" s="10">
        <v>1000</v>
      </c>
      <c r="B3" s="10">
        <v>2</v>
      </c>
      <c r="C3" s="10">
        <v>8</v>
      </c>
      <c r="D3" s="10">
        <v>50</v>
      </c>
      <c r="I3" s="11" t="s">
        <v>414</v>
      </c>
      <c r="J3" s="11" t="s">
        <v>415</v>
      </c>
      <c r="K3" s="11" t="s">
        <v>416</v>
      </c>
      <c r="L3" s="11" t="s">
        <v>417</v>
      </c>
      <c r="M3" s="11" t="s">
        <v>418</v>
      </c>
      <c r="N3" s="11" t="s">
        <v>419</v>
      </c>
      <c r="O3" s="11" t="s">
        <v>420</v>
      </c>
      <c r="P3" s="11" t="s">
        <v>421</v>
      </c>
    </row>
    <row r="4" spans="1:16" x14ac:dyDescent="0.3">
      <c r="A4" s="10">
        <v>1200</v>
      </c>
      <c r="B4" s="10">
        <v>3</v>
      </c>
      <c r="C4" s="10">
        <v>5</v>
      </c>
      <c r="D4" s="10">
        <v>60</v>
      </c>
      <c r="I4" s="26">
        <f>AVERAGE(B2:B6)</f>
        <v>2.8</v>
      </c>
      <c r="J4" s="29">
        <f>AVERAGE(D2:D6)</f>
        <v>59</v>
      </c>
      <c r="K4" s="12">
        <f>STDEV(B2,$B$2:$B$6)</f>
        <v>0.81649658092772637</v>
      </c>
      <c r="L4" s="13">
        <f>STDEV(D2,$D$2:$D$6)</f>
        <v>15.625833311112288</v>
      </c>
      <c r="M4" s="13">
        <f>K4*L4</f>
        <v>12.758439472669757</v>
      </c>
      <c r="N4" s="29">
        <f>SUM(M4:M8)</f>
        <v>59.177732777112979</v>
      </c>
      <c r="O4" s="12">
        <f>K4*K4</f>
        <v>0.66666666666666718</v>
      </c>
      <c r="P4" s="26">
        <f>SUM(O4:O8)</f>
        <v>3.2666666666666679</v>
      </c>
    </row>
    <row r="5" spans="1:16" x14ac:dyDescent="0.3">
      <c r="A5" s="10">
        <v>1500</v>
      </c>
      <c r="B5" s="10">
        <v>3</v>
      </c>
      <c r="C5" s="10">
        <v>7</v>
      </c>
      <c r="D5" s="10">
        <v>65</v>
      </c>
      <c r="I5" s="27"/>
      <c r="J5" s="27"/>
      <c r="K5" s="12">
        <f t="shared" ref="K5:K8" si="0">STDEV(B3,$B$2:$B$6)</f>
        <v>0.81649658092772637</v>
      </c>
      <c r="L5" s="13">
        <f t="shared" ref="L5:L8" si="1">STDEV(D3,$D$2:$D$6)</f>
        <v>14.053469322555197</v>
      </c>
      <c r="M5" s="13">
        <f>K5*L5</f>
        <v>11.474609652039009</v>
      </c>
      <c r="N5" s="27"/>
      <c r="O5" s="12">
        <f t="shared" ref="O5:O8" si="2">K5*K5</f>
        <v>0.66666666666666718</v>
      </c>
      <c r="P5" s="27"/>
    </row>
    <row r="6" spans="1:16" x14ac:dyDescent="0.3">
      <c r="A6" s="10">
        <v>1800</v>
      </c>
      <c r="B6" s="10">
        <v>4</v>
      </c>
      <c r="C6" s="10">
        <v>6</v>
      </c>
      <c r="D6" s="19">
        <v>80</v>
      </c>
      <c r="I6" s="27"/>
      <c r="J6" s="27"/>
      <c r="K6" s="12">
        <f t="shared" si="0"/>
        <v>0.75277265270908122</v>
      </c>
      <c r="L6" s="13">
        <f t="shared" si="1"/>
        <v>13.57080199054818</v>
      </c>
      <c r="M6" s="13">
        <f>K6*L6</f>
        <v>10.215728613814633</v>
      </c>
      <c r="N6" s="27"/>
      <c r="O6" s="12">
        <f t="shared" si="2"/>
        <v>0.56666666666666698</v>
      </c>
      <c r="P6" s="27"/>
    </row>
    <row r="7" spans="1:16" x14ac:dyDescent="0.3">
      <c r="I7" s="27"/>
      <c r="J7" s="27"/>
      <c r="K7" s="12">
        <f t="shared" si="0"/>
        <v>0.75277265270908122</v>
      </c>
      <c r="L7" s="13">
        <f t="shared" si="1"/>
        <v>13.784048752090222</v>
      </c>
      <c r="M7" s="13">
        <f>K7*L7</f>
        <v>10.376254944182257</v>
      </c>
      <c r="N7" s="27"/>
      <c r="O7" s="12">
        <f t="shared" si="2"/>
        <v>0.56666666666666698</v>
      </c>
      <c r="P7" s="27"/>
    </row>
    <row r="8" spans="1:16" x14ac:dyDescent="0.3">
      <c r="A8" s="10">
        <v>2000</v>
      </c>
      <c r="B8" s="10">
        <v>4</v>
      </c>
      <c r="C8" s="10">
        <v>4</v>
      </c>
      <c r="D8" s="18">
        <f>$J$13*B8+$J$14</f>
        <v>80.738758979347622</v>
      </c>
      <c r="I8" s="28"/>
      <c r="J8" s="28"/>
      <c r="K8" s="12">
        <f t="shared" si="0"/>
        <v>0.89442719099991586</v>
      </c>
      <c r="L8" s="13">
        <f t="shared" si="1"/>
        <v>16.046806535881213</v>
      </c>
      <c r="M8" s="13">
        <f>K8*L8</f>
        <v>14.352700094407323</v>
      </c>
      <c r="N8" s="28"/>
      <c r="O8" s="12">
        <f t="shared" si="2"/>
        <v>0.79999999999999993</v>
      </c>
      <c r="P8" s="28"/>
    </row>
    <row r="9" spans="1:16" x14ac:dyDescent="0.3">
      <c r="A9" s="10">
        <v>2200</v>
      </c>
      <c r="B9" s="10">
        <v>5</v>
      </c>
      <c r="C9" s="10">
        <v>3</v>
      </c>
      <c r="D9" s="18">
        <f t="shared" ref="D9:D10" si="3">J14*I5+J15</f>
        <v>0</v>
      </c>
      <c r="I9" s="14"/>
      <c r="J9" s="14"/>
      <c r="K9" s="14"/>
      <c r="L9" s="14"/>
      <c r="M9" s="14"/>
      <c r="N9" s="14"/>
      <c r="O9" s="14"/>
      <c r="P9" s="14"/>
    </row>
    <row r="10" spans="1:16" x14ac:dyDescent="0.3">
      <c r="A10" s="10">
        <v>2500</v>
      </c>
      <c r="B10" s="10">
        <v>5</v>
      </c>
      <c r="C10" s="10">
        <v>2</v>
      </c>
      <c r="D10" s="18">
        <f t="shared" si="3"/>
        <v>0</v>
      </c>
      <c r="I10" s="24" t="s">
        <v>422</v>
      </c>
      <c r="J10" s="24"/>
      <c r="K10" s="24"/>
      <c r="L10" s="24"/>
      <c r="M10" s="24"/>
      <c r="N10" s="24"/>
      <c r="O10" s="15"/>
      <c r="P10" s="14"/>
    </row>
    <row r="11" spans="1:16" x14ac:dyDescent="0.3">
      <c r="I11" s="24" t="s">
        <v>423</v>
      </c>
      <c r="J11" s="24"/>
      <c r="K11" s="24"/>
      <c r="L11" s="24"/>
      <c r="M11" s="24"/>
      <c r="N11" s="24"/>
      <c r="O11" s="15"/>
      <c r="P11" s="14"/>
    </row>
    <row r="12" spans="1:16" x14ac:dyDescent="0.3">
      <c r="I12" s="14"/>
      <c r="J12" s="14"/>
      <c r="K12" s="14"/>
      <c r="L12" s="14"/>
      <c r="M12" s="14"/>
      <c r="N12" s="14"/>
      <c r="O12" s="14"/>
      <c r="P12" s="14"/>
    </row>
    <row r="13" spans="1:16" x14ac:dyDescent="0.3">
      <c r="I13" s="12" t="s">
        <v>424</v>
      </c>
      <c r="J13" s="13">
        <f>N4/P4</f>
        <v>18.115632482789682</v>
      </c>
      <c r="K13" s="14"/>
      <c r="L13" s="14"/>
      <c r="M13" s="14"/>
      <c r="N13" s="14"/>
      <c r="O13" s="14"/>
      <c r="P13" s="14"/>
    </row>
    <row r="14" spans="1:16" x14ac:dyDescent="0.3">
      <c r="I14" s="16" t="s">
        <v>425</v>
      </c>
      <c r="J14" s="17">
        <f>J4-(J13*I4)</f>
        <v>8.2762290481888954</v>
      </c>
      <c r="K14" s="14"/>
      <c r="L14" s="14"/>
      <c r="M14" s="14"/>
      <c r="N14" s="14"/>
      <c r="O14" s="14"/>
      <c r="P14" s="14"/>
    </row>
    <row r="15" spans="1:16" x14ac:dyDescent="0.3">
      <c r="I15" s="14"/>
      <c r="J15" s="14"/>
      <c r="K15" s="14"/>
      <c r="L15" s="14"/>
      <c r="M15" s="14"/>
      <c r="N15" s="14"/>
      <c r="O15" s="14"/>
      <c r="P15" s="14"/>
    </row>
    <row r="16" spans="1:16" x14ac:dyDescent="0.3">
      <c r="I16" s="14"/>
      <c r="J16" s="14"/>
      <c r="K16" s="14"/>
      <c r="L16" s="14"/>
      <c r="M16" s="14"/>
      <c r="N16" s="14"/>
      <c r="O16" s="14"/>
      <c r="P16" s="14"/>
    </row>
    <row r="17" spans="9:16" x14ac:dyDescent="0.3">
      <c r="I17" s="16" t="s">
        <v>426</v>
      </c>
      <c r="J17" s="13">
        <f>SLOPE(D2:D6,B2:B6)</f>
        <v>17.5</v>
      </c>
      <c r="K17" s="14"/>
      <c r="P17" s="14"/>
    </row>
    <row r="18" spans="9:16" x14ac:dyDescent="0.3">
      <c r="I18" s="16" t="s">
        <v>427</v>
      </c>
      <c r="J18" s="13">
        <f>INTERCEPT(D2:D6,B2:B6)</f>
        <v>10</v>
      </c>
    </row>
  </sheetData>
  <mergeCells count="7">
    <mergeCell ref="I11:N11"/>
    <mergeCell ref="I2:P2"/>
    <mergeCell ref="I4:I8"/>
    <mergeCell ref="J4:J8"/>
    <mergeCell ref="N4:N8"/>
    <mergeCell ref="P4:P8"/>
    <mergeCell ref="I10:N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4BAA-6B54-4C0D-906D-F411E6EA3720}">
  <dimension ref="A1:N11"/>
  <sheetViews>
    <sheetView workbookViewId="0">
      <selection activeCell="B11" sqref="B11"/>
    </sheetView>
  </sheetViews>
  <sheetFormatPr defaultRowHeight="14.4" x14ac:dyDescent="0.3"/>
  <cols>
    <col min="1" max="1" width="8.33203125" bestFit="1" customWidth="1"/>
    <col min="2" max="2" width="8" bestFit="1" customWidth="1"/>
    <col min="3" max="4" width="8.44140625" bestFit="1" customWidth="1"/>
    <col min="5" max="6" width="8.6640625" bestFit="1" customWidth="1"/>
    <col min="7" max="7" width="8.5546875" bestFit="1" customWidth="1"/>
    <col min="8" max="8" width="8.33203125" bestFit="1" customWidth="1"/>
    <col min="9" max="9" width="8.6640625" bestFit="1" customWidth="1"/>
    <col min="10" max="10" width="8.77734375" bestFit="1" customWidth="1"/>
    <col min="11" max="11" width="6.88671875" bestFit="1" customWidth="1"/>
    <col min="12" max="12" width="8.44140625" bestFit="1" customWidth="1"/>
    <col min="13" max="13" width="10.5546875" bestFit="1" customWidth="1"/>
    <col min="14" max="14" width="9.6640625" bestFit="1" customWidth="1"/>
  </cols>
  <sheetData>
    <row r="1" spans="1:14" ht="29.4" thickBot="1" x14ac:dyDescent="0.35">
      <c r="A1" s="9" t="s">
        <v>404</v>
      </c>
      <c r="B1" s="9" t="s">
        <v>405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3.8" thickBot="1" x14ac:dyDescent="0.35">
      <c r="A2" s="10" t="s">
        <v>406</v>
      </c>
      <c r="B2" s="10">
        <v>600</v>
      </c>
      <c r="C2" s="2"/>
      <c r="D2" s="2"/>
      <c r="E2" s="2"/>
      <c r="F2" s="2"/>
      <c r="G2" s="2"/>
      <c r="H2" s="5"/>
      <c r="I2" s="5"/>
      <c r="J2" s="2"/>
      <c r="K2" s="2"/>
      <c r="L2" s="2"/>
      <c r="M2" s="4"/>
      <c r="N2" s="5"/>
    </row>
    <row r="3" spans="1:14" ht="43.8" thickBot="1" x14ac:dyDescent="0.35">
      <c r="A3" s="10" t="s">
        <v>407</v>
      </c>
      <c r="B3" s="10">
        <v>300</v>
      </c>
      <c r="C3" s="2"/>
      <c r="D3" s="2"/>
      <c r="E3" s="2"/>
      <c r="F3" s="2"/>
      <c r="G3" s="2"/>
      <c r="H3" s="5"/>
      <c r="I3" s="5"/>
      <c r="J3" s="2"/>
      <c r="K3" s="2"/>
      <c r="L3" s="2"/>
      <c r="M3" s="4"/>
      <c r="N3" s="5"/>
    </row>
    <row r="4" spans="1:14" ht="29.4" thickBot="1" x14ac:dyDescent="0.35">
      <c r="A4" s="10" t="s">
        <v>408</v>
      </c>
      <c r="B4" s="10">
        <v>20000</v>
      </c>
      <c r="C4" s="2"/>
      <c r="D4" s="2"/>
      <c r="E4" s="2"/>
      <c r="F4" s="2"/>
      <c r="G4" s="2"/>
      <c r="H4" s="5"/>
      <c r="I4" s="5"/>
      <c r="J4" s="2"/>
      <c r="K4" s="2"/>
      <c r="L4" s="2"/>
      <c r="M4" s="4"/>
      <c r="N4" s="5"/>
    </row>
    <row r="5" spans="1:14" ht="29.4" thickBot="1" x14ac:dyDescent="0.35">
      <c r="A5" s="10" t="s">
        <v>409</v>
      </c>
      <c r="B5" s="10">
        <v>143.33333333333334</v>
      </c>
      <c r="C5" s="2"/>
      <c r="D5" s="2"/>
      <c r="E5" s="2"/>
      <c r="F5" s="2"/>
      <c r="G5" s="2"/>
      <c r="H5" s="5"/>
      <c r="I5" s="5"/>
      <c r="J5" s="2"/>
      <c r="K5" s="2"/>
      <c r="L5" s="2"/>
      <c r="M5" s="4"/>
      <c r="N5" s="5"/>
    </row>
    <row r="6" spans="1:14" ht="15" thickBot="1" x14ac:dyDescent="0.35">
      <c r="A6" s="10" t="s">
        <v>410</v>
      </c>
      <c r="B6" s="10">
        <f xml:space="preserve"> (B5*(B2-B3)) - B4</f>
        <v>23000</v>
      </c>
      <c r="C6" s="2"/>
      <c r="D6" s="2"/>
      <c r="E6" s="2"/>
      <c r="F6" s="2"/>
      <c r="G6" s="2"/>
      <c r="H6" s="5"/>
      <c r="I6" s="5"/>
      <c r="J6" s="2"/>
      <c r="K6" s="2"/>
      <c r="L6" s="2"/>
      <c r="M6" s="4"/>
      <c r="N6" s="5"/>
    </row>
    <row r="7" spans="1:14" ht="15" thickBot="1" x14ac:dyDescent="0.35">
      <c r="A7" s="2"/>
      <c r="B7" s="4"/>
      <c r="C7" s="2"/>
      <c r="D7" s="2"/>
      <c r="E7" s="2"/>
      <c r="F7" s="2"/>
      <c r="G7" s="2"/>
      <c r="H7" s="5"/>
      <c r="I7" s="5"/>
      <c r="J7" s="2"/>
      <c r="K7" s="2"/>
      <c r="L7" s="2"/>
      <c r="M7" s="4"/>
      <c r="N7" s="5"/>
    </row>
    <row r="8" spans="1:14" ht="15" thickBot="1" x14ac:dyDescent="0.35">
      <c r="A8" s="2"/>
      <c r="B8" s="4"/>
      <c r="C8" s="2"/>
      <c r="D8" s="2"/>
      <c r="E8" s="2"/>
      <c r="F8" s="2"/>
      <c r="G8" s="2"/>
      <c r="H8" s="5"/>
      <c r="I8" s="5"/>
      <c r="J8" s="2"/>
      <c r="K8" s="2"/>
      <c r="L8" s="2"/>
      <c r="M8" s="4"/>
      <c r="N8" s="5"/>
    </row>
    <row r="9" spans="1:14" ht="15" thickBot="1" x14ac:dyDescent="0.35">
      <c r="A9" s="2"/>
      <c r="B9" s="4"/>
      <c r="C9" s="2"/>
      <c r="D9" s="2"/>
      <c r="E9" s="2"/>
      <c r="F9" s="2"/>
      <c r="G9" s="2"/>
      <c r="H9" s="5"/>
      <c r="I9" s="5"/>
      <c r="J9" s="2"/>
      <c r="K9" s="2"/>
      <c r="L9" s="2"/>
      <c r="M9" s="4"/>
      <c r="N9" s="5"/>
    </row>
    <row r="10" spans="1:14" ht="15" thickBot="1" x14ac:dyDescent="0.35">
      <c r="A10" s="2"/>
      <c r="B10" s="4"/>
      <c r="C10" s="2"/>
      <c r="D10" s="2"/>
      <c r="E10" s="2"/>
      <c r="F10" s="2"/>
      <c r="G10" s="2"/>
      <c r="H10" s="5"/>
      <c r="I10" s="5"/>
      <c r="J10" s="2"/>
      <c r="K10" s="2"/>
      <c r="L10" s="2"/>
      <c r="M10" s="4"/>
      <c r="N10" s="5"/>
    </row>
    <row r="11" spans="1:14" ht="15" thickBot="1" x14ac:dyDescent="0.35">
      <c r="A11" s="2"/>
      <c r="B11" s="4"/>
      <c r="C11" s="2"/>
      <c r="D11" s="2"/>
      <c r="E11" s="2"/>
      <c r="F11" s="2"/>
      <c r="G11" s="2"/>
      <c r="H11" s="5"/>
      <c r="I11" s="5"/>
      <c r="J11" s="2"/>
      <c r="K11" s="2"/>
      <c r="L11" s="2"/>
      <c r="M11" s="4"/>
      <c r="N11" s="5"/>
    </row>
  </sheetData>
  <scenarios current="0" show="0">
    <scenario name="Profit Changes" locked="1" count="1" user="SUBHASH LAMBA" comment="Created by SUBHASH LAMBA on 4/30/2026">
      <inputCells r="B2" val="600"/>
    </scenario>
  </scenarios>
  <conditionalFormatting sqref="N1:N11">
    <cfRule type="iconSet" priority="1">
      <iconSet iconSet="3Arrows">
        <cfvo type="percent" val="0"/>
        <cfvo type="percent" val="33"/>
        <cfvo type="percent" val="67"/>
      </iconSet>
    </cfRule>
    <cfRule type="top10" dxfId="1" priority="2" rank="10"/>
    <cfRule type="top10" dxfId="0" priority="3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Pivot Table</vt:lpstr>
      <vt:lpstr>Dashboard</vt:lpstr>
      <vt:lpstr>Linear Regression</vt:lpstr>
      <vt:lpstr>WhatIf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LAMBA</dc:creator>
  <cp:lastModifiedBy>SUBHASH LAMBA</cp:lastModifiedBy>
  <dcterms:created xsi:type="dcterms:W3CDTF">2026-04-30T03:41:18Z</dcterms:created>
  <dcterms:modified xsi:type="dcterms:W3CDTF">2026-05-01T17:30:27Z</dcterms:modified>
</cp:coreProperties>
</file>
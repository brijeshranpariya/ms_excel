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subha\OneDrive\Documents\"/>
    </mc:Choice>
  </mc:AlternateContent>
  <xr:revisionPtr revIDLastSave="0" documentId="13_ncr:1_{DEDCCE3D-1AC8-4006-BA4E-3B29F3F68AE6}" xr6:coauthVersionLast="47" xr6:coauthVersionMax="47" xr10:uidLastSave="{00000000-0000-0000-0000-000000000000}"/>
  <bookViews>
    <workbookView xWindow="-108" yWindow="-108" windowWidth="23256" windowHeight="12456" tabRatio="598" activeTab="6" xr2:uid="{2735E2F1-98C6-4B38-9210-A0D800DA0439}"/>
  </bookViews>
  <sheets>
    <sheet name="Descriptive Analysis" sheetId="6" r:id="rId1"/>
    <sheet name="Sheet1" sheetId="1" r:id="rId2"/>
    <sheet name="Pivot Table" sheetId="10" r:id="rId3"/>
    <sheet name="Dataset" sheetId="7" r:id="rId4"/>
    <sheet name="WHATIF" sheetId="2" r:id="rId5"/>
    <sheet name="Dashboard" sheetId="9" r:id="rId6"/>
    <sheet name="Linear Regression" sheetId="4" r:id="rId7"/>
  </sheets>
  <definedNames>
    <definedName name="Slicer_Product_Category">#N/A</definedName>
    <definedName name="Slicer_Region">#N/A</definedName>
  </definedNames>
  <calcPr calcId="191029"/>
  <pivotCaches>
    <pivotCache cacheId="0" r:id="rId8"/>
    <pivotCache cacheId="4"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8" i="4" l="1"/>
  <c r="C9" i="4"/>
  <c r="C10" i="4"/>
  <c r="C11" i="4"/>
  <c r="C12" i="4"/>
  <c r="C7" i="4"/>
  <c r="C3" i="4"/>
  <c r="C4" i="4"/>
  <c r="C5" i="4"/>
  <c r="C2" i="4"/>
  <c r="J3" i="7"/>
  <c r="J4" i="7"/>
  <c r="J5" i="7"/>
  <c r="J6" i="7"/>
  <c r="J7" i="7"/>
  <c r="J8" i="7"/>
  <c r="J9" i="7"/>
  <c r="J10" i="7"/>
  <c r="J11" i="7"/>
  <c r="J12" i="7"/>
  <c r="J13" i="7"/>
  <c r="J14" i="7"/>
  <c r="J15" i="7"/>
  <c r="J16" i="7"/>
  <c r="J17" i="7"/>
  <c r="J18" i="7"/>
  <c r="J19" i="7"/>
  <c r="J20" i="7"/>
  <c r="J21" i="7"/>
  <c r="J22" i="7"/>
  <c r="J23" i="7"/>
  <c r="J24" i="7"/>
  <c r="J25" i="7"/>
  <c r="J26" i="7"/>
  <c r="J27" i="7"/>
  <c r="J28" i="7"/>
  <c r="J29" i="7"/>
  <c r="J30" i="7"/>
  <c r="J31" i="7"/>
  <c r="J32" i="7"/>
  <c r="J33" i="7"/>
  <c r="J34" i="7"/>
  <c r="J35" i="7"/>
  <c r="J36" i="7"/>
  <c r="J37" i="7"/>
  <c r="J38" i="7"/>
  <c r="J39" i="7"/>
  <c r="J40" i="7"/>
  <c r="J41" i="7"/>
  <c r="J42" i="7"/>
  <c r="J43" i="7"/>
  <c r="J44" i="7"/>
  <c r="J45" i="7"/>
  <c r="J46" i="7"/>
  <c r="J47" i="7"/>
  <c r="J48" i="7"/>
  <c r="J49" i="7"/>
  <c r="J50" i="7"/>
  <c r="J51" i="7"/>
  <c r="J52" i="7"/>
  <c r="J53" i="7"/>
  <c r="J54" i="7"/>
  <c r="J55" i="7"/>
  <c r="J56" i="7"/>
  <c r="J57" i="7"/>
  <c r="J58" i="7"/>
  <c r="J59" i="7"/>
  <c r="J60" i="7"/>
  <c r="J61" i="7"/>
  <c r="J62" i="7"/>
  <c r="J63" i="7"/>
  <c r="J64" i="7"/>
  <c r="J65" i="7"/>
  <c r="J66" i="7"/>
  <c r="J67" i="7"/>
  <c r="J68" i="7"/>
  <c r="J69" i="7"/>
  <c r="J70" i="7"/>
  <c r="J71" i="7"/>
  <c r="J72" i="7"/>
  <c r="J73" i="7"/>
  <c r="J74" i="7"/>
  <c r="J75" i="7"/>
  <c r="J76" i="7"/>
  <c r="J77" i="7"/>
  <c r="J78" i="7"/>
  <c r="J79" i="7"/>
  <c r="J80" i="7"/>
  <c r="J81" i="7"/>
  <c r="J82" i="7"/>
  <c r="J83" i="7"/>
  <c r="J84" i="7"/>
  <c r="J85" i="7"/>
  <c r="J86" i="7"/>
  <c r="J87" i="7"/>
  <c r="J88" i="7"/>
  <c r="J89" i="7"/>
  <c r="J90" i="7"/>
  <c r="J91" i="7"/>
  <c r="J92" i="7"/>
  <c r="J93" i="7"/>
  <c r="J94" i="7"/>
  <c r="J95" i="7"/>
  <c r="J96" i="7"/>
  <c r="J97" i="7"/>
  <c r="J98" i="7"/>
  <c r="J99" i="7"/>
  <c r="J100" i="7"/>
  <c r="J101" i="7"/>
  <c r="J102" i="7"/>
  <c r="J103" i="7"/>
  <c r="J104" i="7"/>
  <c r="J105" i="7"/>
  <c r="J106" i="7"/>
  <c r="J107" i="7"/>
  <c r="J108" i="7"/>
  <c r="J109" i="7"/>
  <c r="J110" i="7"/>
  <c r="J111" i="7"/>
  <c r="J112" i="7"/>
  <c r="J113" i="7"/>
  <c r="J114" i="7"/>
  <c r="J115" i="7"/>
  <c r="J116" i="7"/>
  <c r="J117" i="7"/>
  <c r="J118" i="7"/>
  <c r="J119" i="7"/>
  <c r="J120" i="7"/>
  <c r="J121" i="7"/>
  <c r="J122" i="7"/>
  <c r="J123" i="7"/>
  <c r="J124" i="7"/>
  <c r="J125" i="7"/>
  <c r="J126" i="7"/>
  <c r="J127" i="7"/>
  <c r="J128" i="7"/>
  <c r="J129" i="7"/>
  <c r="J130" i="7"/>
  <c r="J131" i="7"/>
  <c r="J132" i="7"/>
  <c r="J133" i="7"/>
  <c r="J134" i="7"/>
  <c r="J135" i="7"/>
  <c r="J136" i="7"/>
  <c r="J137" i="7"/>
  <c r="J138" i="7"/>
  <c r="J139" i="7"/>
  <c r="J140" i="7"/>
  <c r="J141" i="7"/>
  <c r="J142" i="7"/>
  <c r="J143" i="7"/>
  <c r="J144" i="7"/>
  <c r="J145" i="7"/>
  <c r="J146" i="7"/>
  <c r="J147" i="7"/>
  <c r="J148" i="7"/>
  <c r="J149" i="7"/>
  <c r="J150" i="7"/>
  <c r="J151" i="7"/>
  <c r="J152" i="7"/>
  <c r="J153" i="7"/>
  <c r="J154" i="7"/>
  <c r="J155" i="7"/>
  <c r="J156" i="7"/>
  <c r="J157" i="7"/>
  <c r="J158" i="7"/>
  <c r="J159" i="7"/>
  <c r="J160" i="7"/>
  <c r="J161" i="7"/>
  <c r="J162" i="7"/>
  <c r="J163" i="7"/>
  <c r="J164" i="7"/>
  <c r="J165" i="7"/>
  <c r="J166" i="7"/>
  <c r="J167" i="7"/>
  <c r="J168" i="7"/>
  <c r="J169" i="7"/>
  <c r="J170" i="7"/>
  <c r="J171" i="7"/>
  <c r="J172" i="7"/>
  <c r="J173" i="7"/>
  <c r="J174" i="7"/>
  <c r="J175" i="7"/>
  <c r="J176" i="7"/>
  <c r="J177" i="7"/>
  <c r="J178" i="7"/>
  <c r="J179" i="7"/>
  <c r="J180" i="7"/>
  <c r="J181" i="7"/>
  <c r="J182" i="7"/>
  <c r="J183" i="7"/>
  <c r="J184" i="7"/>
  <c r="J185" i="7"/>
  <c r="J186" i="7"/>
  <c r="J187" i="7"/>
  <c r="J188" i="7"/>
  <c r="J189" i="7"/>
  <c r="J190" i="7"/>
  <c r="J191" i="7"/>
  <c r="J192" i="7"/>
  <c r="J193" i="7"/>
  <c r="J194" i="7"/>
  <c r="J195" i="7"/>
  <c r="J196" i="7"/>
  <c r="J197" i="7"/>
  <c r="J198" i="7"/>
  <c r="J199" i="7"/>
  <c r="J200" i="7"/>
  <c r="J201" i="7"/>
  <c r="J2" i="7"/>
  <c r="N3" i="1"/>
  <c r="J18" i="4"/>
  <c r="O7" i="4"/>
  <c r="O8" i="4"/>
  <c r="O4" i="4"/>
  <c r="M4" i="4"/>
  <c r="L5" i="4"/>
  <c r="M5" i="4" s="1"/>
  <c r="L6" i="4"/>
  <c r="M6" i="4" s="1"/>
  <c r="L7" i="4"/>
  <c r="M7" i="4" s="1"/>
  <c r="L8" i="4"/>
  <c r="M8" i="4" s="1"/>
  <c r="L4" i="4"/>
  <c r="K5" i="4"/>
  <c r="O5" i="4" s="1"/>
  <c r="K6" i="4"/>
  <c r="O6" i="4" s="1"/>
  <c r="K7" i="4"/>
  <c r="K8" i="4"/>
  <c r="K4" i="4"/>
  <c r="J4" i="4"/>
  <c r="I4" i="4"/>
  <c r="J17" i="4"/>
  <c r="J67" i="1"/>
  <c r="J163" i="1"/>
  <c r="J152" i="1"/>
  <c r="J132" i="1"/>
  <c r="J105" i="1"/>
  <c r="J27" i="1"/>
  <c r="J76" i="1"/>
  <c r="J190" i="1"/>
  <c r="J159" i="1"/>
  <c r="J7" i="1"/>
  <c r="J25" i="1"/>
  <c r="J47" i="1"/>
  <c r="J140" i="1"/>
  <c r="J187" i="1"/>
  <c r="J10" i="1"/>
  <c r="J122" i="1"/>
  <c r="J178" i="1"/>
  <c r="J9" i="1"/>
  <c r="J176" i="1"/>
  <c r="J108" i="1"/>
  <c r="J196" i="1"/>
  <c r="J155" i="1"/>
  <c r="J166" i="1"/>
  <c r="J114" i="1"/>
  <c r="J51" i="1"/>
  <c r="J173" i="1"/>
  <c r="J110" i="1"/>
  <c r="J99" i="1"/>
  <c r="J146" i="1"/>
  <c r="J15" i="1"/>
  <c r="J85" i="1"/>
  <c r="J131" i="1"/>
  <c r="J103" i="1"/>
  <c r="J45" i="1"/>
  <c r="J193" i="1"/>
  <c r="J134" i="1"/>
  <c r="J19" i="1"/>
  <c r="J149" i="1"/>
  <c r="J182" i="1"/>
  <c r="J59" i="1"/>
  <c r="J84" i="1"/>
  <c r="J184" i="1"/>
  <c r="J135" i="1"/>
  <c r="J39" i="1"/>
  <c r="J129" i="1"/>
  <c r="J41" i="1"/>
  <c r="J95" i="1"/>
  <c r="J49" i="1"/>
  <c r="J148" i="1"/>
  <c r="J87" i="1"/>
  <c r="J40" i="1"/>
  <c r="J72" i="1"/>
  <c r="J109" i="1"/>
  <c r="J142" i="1"/>
  <c r="J117" i="1"/>
  <c r="J102" i="1"/>
  <c r="J157" i="1"/>
  <c r="J37" i="1"/>
  <c r="J22" i="1"/>
  <c r="J20" i="1"/>
  <c r="J192" i="1"/>
  <c r="J112" i="1"/>
  <c r="J94" i="1"/>
  <c r="J68" i="1"/>
  <c r="J82" i="1"/>
  <c r="J123" i="1"/>
  <c r="J21" i="1"/>
  <c r="J88" i="1"/>
  <c r="J144" i="1"/>
  <c r="J179" i="1"/>
  <c r="J100" i="1"/>
  <c r="J186" i="1"/>
  <c r="J145" i="1"/>
  <c r="J8" i="1"/>
  <c r="J42" i="1"/>
  <c r="J34" i="1"/>
  <c r="J188" i="1"/>
  <c r="J64" i="1"/>
  <c r="J30" i="1"/>
  <c r="J172" i="1"/>
  <c r="J61" i="1"/>
  <c r="J147" i="1"/>
  <c r="J77" i="1"/>
  <c r="J54" i="1"/>
  <c r="J26" i="1"/>
  <c r="J125" i="1"/>
  <c r="J16" i="1"/>
  <c r="J58" i="1"/>
  <c r="J33" i="1"/>
  <c r="J66" i="1"/>
  <c r="J161" i="1"/>
  <c r="J124" i="1"/>
  <c r="J57" i="1"/>
  <c r="J104" i="1"/>
  <c r="J118" i="1"/>
  <c r="J52" i="1"/>
  <c r="J44" i="1"/>
  <c r="J139" i="1"/>
  <c r="J119" i="1"/>
  <c r="J180" i="1"/>
  <c r="J97" i="1"/>
  <c r="J92" i="1"/>
  <c r="J115" i="1"/>
  <c r="J31" i="1"/>
  <c r="J106" i="1"/>
  <c r="J73" i="1"/>
  <c r="J2" i="1"/>
  <c r="J160" i="1"/>
  <c r="J29" i="1"/>
  <c r="J101" i="1"/>
  <c r="J168" i="1"/>
  <c r="J46" i="1"/>
  <c r="J150" i="1"/>
  <c r="J175" i="1"/>
  <c r="J170" i="1"/>
  <c r="J36" i="1"/>
  <c r="J91" i="1"/>
  <c r="J93" i="1"/>
  <c r="J107" i="1"/>
  <c r="J74" i="1"/>
  <c r="J55" i="1"/>
  <c r="J89" i="1"/>
  <c r="J162" i="1"/>
  <c r="J32" i="1"/>
  <c r="J165" i="1"/>
  <c r="J18" i="1"/>
  <c r="J24" i="1"/>
  <c r="J116" i="1"/>
  <c r="J201" i="1"/>
  <c r="J43" i="1"/>
  <c r="J60" i="1"/>
  <c r="J130" i="1"/>
  <c r="J79" i="1"/>
  <c r="J120" i="1"/>
  <c r="J136" i="1"/>
  <c r="J141" i="1"/>
  <c r="J189" i="1"/>
  <c r="J143" i="1"/>
  <c r="J17" i="1"/>
  <c r="J12" i="1"/>
  <c r="J38" i="1"/>
  <c r="J56" i="1"/>
  <c r="J197" i="1"/>
  <c r="J6" i="1"/>
  <c r="J199" i="1"/>
  <c r="J23" i="1"/>
  <c r="J174" i="1"/>
  <c r="J200" i="1"/>
  <c r="J121" i="1"/>
  <c r="J154" i="1"/>
  <c r="J126" i="1"/>
  <c r="J128" i="1"/>
  <c r="J53" i="1"/>
  <c r="J80" i="1"/>
  <c r="J3" i="1"/>
  <c r="J198" i="1"/>
  <c r="J75" i="1"/>
  <c r="J35" i="1"/>
  <c r="J62" i="1"/>
  <c r="J4" i="1"/>
  <c r="J177" i="1"/>
  <c r="J181" i="1"/>
  <c r="J65" i="1"/>
  <c r="J70" i="1"/>
  <c r="J137" i="1"/>
  <c r="J156" i="1"/>
  <c r="J28" i="1"/>
  <c r="J183" i="1"/>
  <c r="J63" i="1"/>
  <c r="J133" i="1"/>
  <c r="J83" i="1"/>
  <c r="J48" i="1"/>
  <c r="J167" i="1"/>
  <c r="J5" i="1"/>
  <c r="J90" i="1"/>
  <c r="J138" i="1"/>
  <c r="J86" i="1"/>
  <c r="J69" i="1"/>
  <c r="J164" i="1"/>
  <c r="J191" i="1"/>
  <c r="J78" i="1"/>
  <c r="J195" i="1"/>
  <c r="J127" i="1"/>
  <c r="J98" i="1"/>
  <c r="J11" i="1"/>
  <c r="J169" i="1"/>
  <c r="J171" i="1"/>
  <c r="J194" i="1"/>
  <c r="J50" i="1"/>
  <c r="J151" i="1"/>
  <c r="J153" i="1"/>
  <c r="J14" i="1"/>
  <c r="J71" i="1"/>
  <c r="J111" i="1"/>
  <c r="J13" i="1"/>
  <c r="J158" i="1"/>
  <c r="J185" i="1"/>
  <c r="J96" i="1"/>
  <c r="J113" i="1"/>
  <c r="J81" i="1"/>
  <c r="P4" i="4" l="1"/>
  <c r="N4" i="4"/>
  <c r="J13" i="4" s="1"/>
  <c r="J14" i="4"/>
  <c r="G13" i="2"/>
  <c r="F13" i="2"/>
  <c r="H13" i="2" s="1"/>
  <c r="B16" i="2" s="1"/>
  <c r="F3" i="2" l="1"/>
  <c r="H3" i="2" s="1"/>
  <c r="F4" i="2"/>
  <c r="H4" i="2" s="1"/>
  <c r="F5" i="2"/>
  <c r="H5" i="2" s="1"/>
  <c r="F6" i="2"/>
  <c r="H6" i="2" s="1"/>
  <c r="F7" i="2"/>
  <c r="H7" i="2" s="1"/>
  <c r="F8" i="2"/>
  <c r="H8" i="2" s="1"/>
  <c r="F9" i="2"/>
  <c r="F2" i="2"/>
  <c r="G3" i="2"/>
  <c r="G4" i="2"/>
  <c r="G5" i="2"/>
  <c r="G6" i="2"/>
  <c r="G7" i="2"/>
  <c r="G8" i="2"/>
  <c r="G9" i="2"/>
  <c r="H9" i="2" s="1"/>
  <c r="G2" i="2"/>
  <c r="H2" i="2" l="1"/>
</calcChain>
</file>

<file path=xl/sharedStrings.xml><?xml version="1.0" encoding="utf-8"?>
<sst xmlns="http://schemas.openxmlformats.org/spreadsheetml/2006/main" count="1724" uniqueCount="132">
  <si>
    <t>Customer_ID</t>
  </si>
  <si>
    <t>Customer_Name</t>
  </si>
  <si>
    <t>Region</t>
  </si>
  <si>
    <t>Product_Category</t>
  </si>
  <si>
    <t>Sales</t>
  </si>
  <si>
    <t>Quantity</t>
  </si>
  <si>
    <t>Discount</t>
  </si>
  <si>
    <t>Order_Date</t>
  </si>
  <si>
    <t>Profit</t>
  </si>
  <si>
    <t>CUST019</t>
  </si>
  <si>
    <t>James Davis</t>
  </si>
  <si>
    <t>West</t>
  </si>
  <si>
    <t>Books</t>
  </si>
  <si>
    <t>CUST012</t>
  </si>
  <si>
    <t>Robert Anderson</t>
  </si>
  <si>
    <t>Clothing</t>
  </si>
  <si>
    <t>CUST017</t>
  </si>
  <si>
    <t>James Taylor</t>
  </si>
  <si>
    <t>East</t>
  </si>
  <si>
    <t>CUST005</t>
  </si>
  <si>
    <t>South</t>
  </si>
  <si>
    <t>Electronics</t>
  </si>
  <si>
    <t>CUST030</t>
  </si>
  <si>
    <t>James Wilson</t>
  </si>
  <si>
    <t>North</t>
  </si>
  <si>
    <t>CUST007</t>
  </si>
  <si>
    <t>Michael Anderson</t>
  </si>
  <si>
    <t>Furniture</t>
  </si>
  <si>
    <t>CUST001</t>
  </si>
  <si>
    <t>Linda Wilson</t>
  </si>
  <si>
    <t>CUST026</t>
  </si>
  <si>
    <t>Mary Davis</t>
  </si>
  <si>
    <t>CUST009</t>
  </si>
  <si>
    <t>Linda Jackson</t>
  </si>
  <si>
    <t>Central</t>
  </si>
  <si>
    <t>CUST010</t>
  </si>
  <si>
    <t>David Thomas</t>
  </si>
  <si>
    <t>CUST014</t>
  </si>
  <si>
    <t>Emma Davis</t>
  </si>
  <si>
    <t>Office Supplies</t>
  </si>
  <si>
    <t>CUST023</t>
  </si>
  <si>
    <t>CUST029</t>
  </si>
  <si>
    <t>David Smith</t>
  </si>
  <si>
    <t>Sarah Anderson</t>
  </si>
  <si>
    <t>CUST008</t>
  </si>
  <si>
    <t>Lisa Thomas</t>
  </si>
  <si>
    <t>CUST006</t>
  </si>
  <si>
    <t>Mary Jackson</t>
  </si>
  <si>
    <t>Lisa Davis</t>
  </si>
  <si>
    <t>CUST022</t>
  </si>
  <si>
    <t>Linda Brown</t>
  </si>
  <si>
    <t>John Brown</t>
  </si>
  <si>
    <t>CUST028</t>
  </si>
  <si>
    <t>Linda Taylor</t>
  </si>
  <si>
    <t>CUST025</t>
  </si>
  <si>
    <t>David Brown</t>
  </si>
  <si>
    <t>David Davis</t>
  </si>
  <si>
    <t>CUST021</t>
  </si>
  <si>
    <t>CUST015</t>
  </si>
  <si>
    <t>Mary Wilson</t>
  </si>
  <si>
    <t>CUST016</t>
  </si>
  <si>
    <t>Emma Wilson</t>
  </si>
  <si>
    <t>Linda Davis</t>
  </si>
  <si>
    <t>CUST011</t>
  </si>
  <si>
    <t>Sarah Davis</t>
  </si>
  <si>
    <t>CUST002</t>
  </si>
  <si>
    <t>Emma Taylor</t>
  </si>
  <si>
    <t>CUST003</t>
  </si>
  <si>
    <t>CUST020</t>
  </si>
  <si>
    <t>Linda Moore</t>
  </si>
  <si>
    <t>CUST024</t>
  </si>
  <si>
    <t>David Anderson</t>
  </si>
  <si>
    <t>CUST004</t>
  </si>
  <si>
    <t>CUST013</t>
  </si>
  <si>
    <t>CUST027</t>
  </si>
  <si>
    <t>CUST018</t>
  </si>
  <si>
    <t>Product</t>
  </si>
  <si>
    <t>Cost Price</t>
  </si>
  <si>
    <t>Selling Price</t>
  </si>
  <si>
    <t>Quantity Sold</t>
  </si>
  <si>
    <t>Discount (%)</t>
  </si>
  <si>
    <t>Revenue</t>
  </si>
  <si>
    <t>Total Cost</t>
  </si>
  <si>
    <t>A</t>
  </si>
  <si>
    <t>B</t>
  </si>
  <si>
    <t>C</t>
  </si>
  <si>
    <t>D</t>
  </si>
  <si>
    <t>E</t>
  </si>
  <si>
    <t>F</t>
  </si>
  <si>
    <t>G</t>
  </si>
  <si>
    <t>H</t>
  </si>
  <si>
    <t>Observation</t>
  </si>
  <si>
    <t>Advertising Spend ($)</t>
  </si>
  <si>
    <t>Estimated Sales ($)</t>
  </si>
  <si>
    <t>Calculation for Slope &amp; Intercept</t>
  </si>
  <si>
    <t>Mean (of X)</t>
  </si>
  <si>
    <t>Mean (of Y)</t>
  </si>
  <si>
    <t>Deviations (of X)</t>
  </si>
  <si>
    <t>Deviations (of Y)</t>
  </si>
  <si>
    <t>Product of Deviations</t>
  </si>
  <si>
    <t>Sum of Product of Deviations</t>
  </si>
  <si>
    <t>Square of Deviations (of X)</t>
  </si>
  <si>
    <t>Sum of Square of Deviations (of X)</t>
  </si>
  <si>
    <r>
      <rPr>
        <b/>
        <sz val="11"/>
        <color theme="1"/>
        <rFont val="Aptos Narrow"/>
        <family val="2"/>
        <scheme val="minor"/>
      </rPr>
      <t>Slope (m)</t>
    </r>
    <r>
      <rPr>
        <sz val="11"/>
        <color theme="1"/>
        <rFont val="Aptos Narrow"/>
        <family val="2"/>
        <scheme val="minor"/>
      </rPr>
      <t xml:space="preserve"> = Sum of Product of Deviations / Sum of Square of deviation for X</t>
    </r>
  </si>
  <si>
    <r>
      <rPr>
        <b/>
        <sz val="11"/>
        <color theme="1"/>
        <rFont val="Aptos Narrow"/>
        <family val="2"/>
        <scheme val="minor"/>
      </rPr>
      <t>Intercept (c)</t>
    </r>
    <r>
      <rPr>
        <sz val="11"/>
        <color theme="1"/>
        <rFont val="Aptos Narrow"/>
        <family val="2"/>
        <scheme val="minor"/>
      </rPr>
      <t xml:space="preserve"> = Mean of Y - (m * Mean of X)</t>
    </r>
  </si>
  <si>
    <t>M</t>
  </si>
  <si>
    <t>Slope (m) =</t>
  </si>
  <si>
    <t>Intercept (c) =</t>
  </si>
  <si>
    <t>Column1</t>
  </si>
  <si>
    <t>Mean</t>
  </si>
  <si>
    <t>Standard Error</t>
  </si>
  <si>
    <t>Median</t>
  </si>
  <si>
    <t>Mode</t>
  </si>
  <si>
    <t>Standard Deviation</t>
  </si>
  <si>
    <t>Sample Variance</t>
  </si>
  <si>
    <t>Kurtosis</t>
  </si>
  <si>
    <t>Skewness</t>
  </si>
  <si>
    <t>Range</t>
  </si>
  <si>
    <t>Minimum</t>
  </si>
  <si>
    <t>Maximum</t>
  </si>
  <si>
    <t>Sum</t>
  </si>
  <si>
    <t>Count</t>
  </si>
  <si>
    <t>Current Time</t>
  </si>
  <si>
    <t>7. Identify high-value customers using index(), match(), and filters.</t>
  </si>
  <si>
    <t>Row Labels</t>
  </si>
  <si>
    <t>Grand Total</t>
  </si>
  <si>
    <t>Column Labels</t>
  </si>
  <si>
    <t>Dashboard</t>
  </si>
  <si>
    <t>Sum of Sales</t>
  </si>
  <si>
    <t>(All)</t>
  </si>
  <si>
    <t>Order_Month</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</si>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</sst>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Red]0"/>
    <numFmt numFmtId="165" formatCode="&quot;₹&quot;\ #,##0.00"/>
  </numFmts>
  <fonts count="7" x14ac:knownFonts="1">
    <font>
      <sz val="11"/>
      <color theme="1"/>
      <name val="Aptos Narrow"/>
      <family val="2"/>
      <scheme val="minor"/>
    </font>
    <font>
      <b/>
      <sz val="11"/>
      <color theme="1"/>
      <name val="Aptos Narrow"/>
      <family val="2"/>
      <scheme val="minor"/>
    </font>
    <font>
      <b/>
      <sz val="11"/>
      <color theme="1"/>
      <name val="Calibri"/>
      <family val="2"/>
    </font>
    <font>
      <sz val="11"/>
      <color theme="1"/>
      <name val="Calibri"/>
      <family val="2"/>
    </font>
    <font>
      <i/>
      <sz val="11"/>
      <color theme="1"/>
      <name val="Aptos Narrow"/>
      <family val="2"/>
      <scheme val="minor"/>
    </font>
    <font>
      <b/>
      <u/>
      <sz val="28"/>
      <color theme="1"/>
      <name val="Aptos Narrow"/>
      <family val="2"/>
      <scheme val="minor"/>
    </font>
    <font>
      <u/>
      <sz val="28"/>
      <color theme="1"/>
      <name val="Aptos Narrow"/>
      <family val="2"/>
      <scheme val="minor"/>
    </font>
  </fonts>
  <fills count="7">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5" tint="0.79998168889431442"/>
        <bgColor indexed="64"/>
      </patternFill>
    </fill>
  </fills>
  <borders count="9">
    <border>
      <left/>
      <right/>
      <top/>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medium">
        <color indexed="64"/>
      </bottom>
      <diagonal/>
    </border>
    <border>
      <left/>
      <right/>
      <top style="medium">
        <color indexed="64"/>
      </top>
      <bottom style="thin">
        <color indexed="64"/>
      </bottom>
      <diagonal/>
    </border>
    <border>
      <left style="medium">
        <color rgb="FFCCCCCC"/>
      </left>
      <right style="medium">
        <color rgb="FFCCCCCC"/>
      </right>
      <top/>
      <bottom/>
      <diagonal/>
    </border>
  </borders>
  <cellStyleXfs count="1">
    <xf numFmtId="0" fontId="0" fillId="0" borderId="0"/>
  </cellStyleXfs>
  <cellXfs count="35">
    <xf numFmtId="0" fontId="0" fillId="0" borderId="0" xfId="0"/>
    <xf numFmtId="0" fontId="2" fillId="0" borderId="1" xfId="0" applyFont="1" applyBorder="1" applyAlignment="1">
      <alignment wrapText="1"/>
    </xf>
    <xf numFmtId="0" fontId="3" fillId="0" borderId="1" xfId="0" applyFont="1" applyBorder="1" applyAlignment="1">
      <alignment wrapText="1"/>
    </xf>
    <xf numFmtId="0" fontId="3" fillId="0" borderId="1" xfId="0" applyFont="1" applyBorder="1" applyAlignment="1">
      <alignment horizontal="right" wrapText="1"/>
    </xf>
    <xf numFmtId="14" fontId="3" fillId="0" borderId="1" xfId="0" applyNumberFormat="1" applyFont="1" applyBorder="1" applyAlignment="1">
      <alignment horizontal="right" wrapText="1"/>
    </xf>
    <xf numFmtId="0" fontId="1" fillId="0" borderId="0" xfId="0" applyFont="1" applyAlignment="1">
      <alignment horizontal="center" vertical="center" wrapText="1"/>
    </xf>
    <xf numFmtId="0" fontId="0" fillId="0" borderId="0" xfId="0" applyAlignment="1">
      <alignment vertical="center" wrapText="1"/>
    </xf>
    <xf numFmtId="164" fontId="0" fillId="0" borderId="0" xfId="0" applyNumberFormat="1" applyAlignment="1">
      <alignment vertical="center" wrapText="1"/>
    </xf>
    <xf numFmtId="0" fontId="0" fillId="2" borderId="0" xfId="0" applyFill="1"/>
    <xf numFmtId="0" fontId="0" fillId="3" borderId="0" xfId="0" applyFill="1" applyAlignment="1">
      <alignment vertical="center" wrapText="1"/>
    </xf>
    <xf numFmtId="0" fontId="1" fillId="5" borderId="2" xfId="0" applyFont="1" applyFill="1" applyBorder="1" applyAlignment="1">
      <alignment horizontal="center" vertical="center" wrapText="1"/>
    </xf>
    <xf numFmtId="0" fontId="0" fillId="0" borderId="2" xfId="0" applyBorder="1" applyAlignment="1">
      <alignment horizontal="center" vertical="center"/>
    </xf>
    <xf numFmtId="165" fontId="0" fillId="0" borderId="2" xfId="0" applyNumberFormat="1" applyBorder="1" applyAlignment="1">
      <alignment horizontal="center" vertical="center"/>
    </xf>
    <xf numFmtId="0" fontId="0" fillId="0" borderId="0" xfId="0" applyAlignment="1">
      <alignment horizontal="center" vertical="center"/>
    </xf>
    <xf numFmtId="165" fontId="0" fillId="0" borderId="0" xfId="0" applyNumberFormat="1" applyAlignment="1">
      <alignment horizontal="center" vertical="center"/>
    </xf>
    <xf numFmtId="0" fontId="1" fillId="0" borderId="2" xfId="0" applyFont="1" applyBorder="1" applyAlignment="1">
      <alignment horizontal="center" vertical="center"/>
    </xf>
    <xf numFmtId="165" fontId="1" fillId="0" borderId="2" xfId="0" applyNumberFormat="1" applyFont="1" applyBorder="1" applyAlignment="1">
      <alignment horizontal="center" vertical="center"/>
    </xf>
    <xf numFmtId="0" fontId="0" fillId="0" borderId="6" xfId="0" applyBorder="1"/>
    <xf numFmtId="0" fontId="4" fillId="0" borderId="7" xfId="0" applyFont="1" applyBorder="1" applyAlignment="1">
      <alignment horizontal="centerContinuous"/>
    </xf>
    <xf numFmtId="0" fontId="2" fillId="0" borderId="8" xfId="0" applyFont="1" applyBorder="1" applyAlignment="1">
      <alignment wrapText="1"/>
    </xf>
    <xf numFmtId="22" fontId="0" fillId="0" borderId="0" xfId="0" applyNumberFormat="1"/>
    <xf numFmtId="0" fontId="0" fillId="0" borderId="0" xfId="0" pivotButton="1"/>
    <xf numFmtId="0" fontId="0" fillId="0" borderId="0" xfId="0" applyAlignment="1">
      <alignment horizontal="left"/>
    </xf>
    <xf numFmtId="0" fontId="0" fillId="6" borderId="0" xfId="0" applyFill="1"/>
    <xf numFmtId="0" fontId="5" fillId="6" borderId="0" xfId="0" applyFont="1" applyFill="1" applyAlignment="1">
      <alignment horizontal="center" vertical="center"/>
    </xf>
    <xf numFmtId="0" fontId="6" fillId="6" borderId="0" xfId="0" applyFont="1" applyFill="1" applyAlignment="1">
      <alignment horizontal="center" vertical="center"/>
    </xf>
    <xf numFmtId="0" fontId="1" fillId="0" borderId="0" xfId="0" applyFont="1" applyAlignment="1">
      <alignment horizontal="center"/>
    </xf>
    <xf numFmtId="0" fontId="0" fillId="0" borderId="2" xfId="0" applyBorder="1" applyAlignment="1">
      <alignment horizontal="left" vertical="center"/>
    </xf>
    <xf numFmtId="0" fontId="1" fillId="4" borderId="2" xfId="0" applyFont="1" applyFill="1"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165" fontId="0" fillId="0" borderId="3" xfId="0" applyNumberFormat="1" applyBorder="1" applyAlignment="1">
      <alignment horizontal="center" vertical="center"/>
    </xf>
    <xf numFmtId="0" fontId="2" fillId="0" borderId="8" xfId="0" applyFont="1" applyFill="1" applyBorder="1" applyAlignment="1">
      <alignment wrapText="1"/>
    </xf>
    <xf numFmtId="0" fontId="0" fillId="0" borderId="0" xfId="0" applyNumberFormat="1"/>
  </cellXfs>
  <cellStyles count="1">
    <cellStyle name="Normal" xfId="0" builtinId="0"/>
  </cellStyles>
  <dxfs count="8">
    <dxf>
      <fill>
        <patternFill>
          <fgColor theme="5" tint="0.59996337778862885"/>
          <bgColor theme="9" tint="0.59996337778862885"/>
        </patternFill>
      </fill>
    </dxf>
    <dxf>
      <fill>
        <patternFill>
          <bgColor theme="9" tint="0.79998168889431442"/>
        </patternFill>
      </fill>
    </dxf>
    <dxf>
      <font>
        <color rgb="FF9C0006"/>
      </font>
      <fill>
        <patternFill>
          <bgColor rgb="FFFFC7CE"/>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fgColor theme="5" tint="0.59996337778862885"/>
          <bgColor theme="9" tint="0.59996337778862885"/>
        </patternFill>
      </fill>
    </dxf>
    <dxf>
      <fill>
        <patternFill>
          <fgColor theme="5" tint="0.59996337778862885"/>
          <bgColor theme="9"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[PRA-2.xlsx]Pivot Table!PivotTable7</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s>
    <c:plotArea>
      <c:layout/>
      <c:pieChart>
        <c:varyColors val="1"/>
        <c:ser>
          <c:idx val="0"/>
          <c:order val="0"/>
          <c:tx>
            <c:strRef>
              <c:f>'Pivot Table'!$B$3:$B$4</c:f>
              <c:strCache>
                <c:ptCount val="1"/>
                <c:pt idx="0">
                  <c:v>Central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9C9-4D9E-A5CA-148CA590767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9C9-4D9E-A5CA-148CA590767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9C9-4D9E-A5CA-148CA590767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9C9-4D9E-A5CA-148CA590767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9C9-4D9E-A5CA-148CA590767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Table'!$A$5:$A$10</c:f>
              <c:strCache>
                <c:ptCount val="5"/>
                <c:pt idx="0">
                  <c:v>Books</c:v>
                </c:pt>
                <c:pt idx="1">
                  <c:v>Clothing</c:v>
                </c:pt>
                <c:pt idx="2">
                  <c:v>Electronics</c:v>
                </c:pt>
                <c:pt idx="3">
                  <c:v>Furniture</c:v>
                </c:pt>
                <c:pt idx="4">
                  <c:v>Office Supplies</c:v>
                </c:pt>
              </c:strCache>
            </c:strRef>
          </c:cat>
          <c:val>
            <c:numRef>
              <c:f>'Pivot Table'!$B$5:$B$10</c:f>
              <c:numCache>
                <c:formatCode>General</c:formatCode>
                <c:ptCount val="5"/>
                <c:pt idx="0">
                  <c:v>11297.150000000001</c:v>
                </c:pt>
                <c:pt idx="1">
                  <c:v>12200.26</c:v>
                </c:pt>
                <c:pt idx="2">
                  <c:v>6621.24</c:v>
                </c:pt>
                <c:pt idx="3">
                  <c:v>4876.96</c:v>
                </c:pt>
                <c:pt idx="4">
                  <c:v>8472.7199999999993</c:v>
                </c:pt>
              </c:numCache>
            </c:numRef>
          </c:val>
          <c:extLst>
            <c:ext xmlns:c16="http://schemas.microsoft.com/office/drawing/2014/chart" uri="{C3380CC4-5D6E-409C-BE32-E72D297353CC}">
              <c16:uniqueId val="{0000000A-C9C9-4D9E-A5CA-148CA5907679}"/>
            </c:ext>
          </c:extLst>
        </c:ser>
        <c:ser>
          <c:idx val="1"/>
          <c:order val="1"/>
          <c:tx>
            <c:strRef>
              <c:f>'Pivot Table'!$C$3:$C$4</c:f>
              <c:strCache>
                <c:ptCount val="1"/>
                <c:pt idx="0">
                  <c:v>East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C-C9C9-4D9E-A5CA-148CA590767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E-C9C9-4D9E-A5CA-148CA590767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0-C9C9-4D9E-A5CA-148CA590767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2-C9C9-4D9E-A5CA-148CA590767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4-C9C9-4D9E-A5CA-148CA5907679}"/>
              </c:ext>
            </c:extLst>
          </c:dPt>
          <c:cat>
            <c:strRef>
              <c:f>'Pivot Table'!$A$5:$A$10</c:f>
              <c:strCache>
                <c:ptCount val="5"/>
                <c:pt idx="0">
                  <c:v>Books</c:v>
                </c:pt>
                <c:pt idx="1">
                  <c:v>Clothing</c:v>
                </c:pt>
                <c:pt idx="2">
                  <c:v>Electronics</c:v>
                </c:pt>
                <c:pt idx="3">
                  <c:v>Furniture</c:v>
                </c:pt>
                <c:pt idx="4">
                  <c:v>Office Supplies</c:v>
                </c:pt>
              </c:strCache>
            </c:strRef>
          </c:cat>
          <c:val>
            <c:numRef>
              <c:f>'Pivot Table'!$C$5:$C$10</c:f>
              <c:numCache>
                <c:formatCode>General</c:formatCode>
                <c:ptCount val="5"/>
                <c:pt idx="0">
                  <c:v>11389.090000000002</c:v>
                </c:pt>
                <c:pt idx="1">
                  <c:v>2401.4499999999998</c:v>
                </c:pt>
                <c:pt idx="2">
                  <c:v>2869.54</c:v>
                </c:pt>
                <c:pt idx="3">
                  <c:v>7592.3399999999992</c:v>
                </c:pt>
                <c:pt idx="4">
                  <c:v>8189.2200000000012</c:v>
                </c:pt>
              </c:numCache>
            </c:numRef>
          </c:val>
          <c:extLst>
            <c:ext xmlns:c16="http://schemas.microsoft.com/office/drawing/2014/chart" uri="{C3380CC4-5D6E-409C-BE32-E72D297353CC}">
              <c16:uniqueId val="{00000015-C9C9-4D9E-A5CA-148CA5907679}"/>
            </c:ext>
          </c:extLst>
        </c:ser>
        <c:ser>
          <c:idx val="2"/>
          <c:order val="2"/>
          <c:tx>
            <c:strRef>
              <c:f>'Pivot Table'!$D$3:$D$4</c:f>
              <c:strCache>
                <c:ptCount val="1"/>
                <c:pt idx="0">
                  <c:v>North</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7-C9C9-4D9E-A5CA-148CA590767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9-C9C9-4D9E-A5CA-148CA590767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B-C9C9-4D9E-A5CA-148CA590767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D-C9C9-4D9E-A5CA-148CA590767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F-C9C9-4D9E-A5CA-148CA5907679}"/>
              </c:ext>
            </c:extLst>
          </c:dPt>
          <c:cat>
            <c:strRef>
              <c:f>'Pivot Table'!$A$5:$A$10</c:f>
              <c:strCache>
                <c:ptCount val="5"/>
                <c:pt idx="0">
                  <c:v>Books</c:v>
                </c:pt>
                <c:pt idx="1">
                  <c:v>Clothing</c:v>
                </c:pt>
                <c:pt idx="2">
                  <c:v>Electronics</c:v>
                </c:pt>
                <c:pt idx="3">
                  <c:v>Furniture</c:v>
                </c:pt>
                <c:pt idx="4">
                  <c:v>Office Supplies</c:v>
                </c:pt>
              </c:strCache>
            </c:strRef>
          </c:cat>
          <c:val>
            <c:numRef>
              <c:f>'Pivot Table'!$D$5:$D$10</c:f>
              <c:numCache>
                <c:formatCode>General</c:formatCode>
                <c:ptCount val="5"/>
                <c:pt idx="0">
                  <c:v>8037.0100000000011</c:v>
                </c:pt>
                <c:pt idx="1">
                  <c:v>8422.82</c:v>
                </c:pt>
                <c:pt idx="2">
                  <c:v>8191.7099999999991</c:v>
                </c:pt>
                <c:pt idx="3">
                  <c:v>6978.08</c:v>
                </c:pt>
                <c:pt idx="4">
                  <c:v>3345.8</c:v>
                </c:pt>
              </c:numCache>
            </c:numRef>
          </c:val>
          <c:extLst>
            <c:ext xmlns:c16="http://schemas.microsoft.com/office/drawing/2014/chart" uri="{C3380CC4-5D6E-409C-BE32-E72D297353CC}">
              <c16:uniqueId val="{00000020-C9C9-4D9E-A5CA-148CA5907679}"/>
            </c:ext>
          </c:extLst>
        </c:ser>
        <c:ser>
          <c:idx val="3"/>
          <c:order val="3"/>
          <c:tx>
            <c:strRef>
              <c:f>'Pivot Table'!$E$3:$E$4</c:f>
              <c:strCache>
                <c:ptCount val="1"/>
                <c:pt idx="0">
                  <c:v>South</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2-C9C9-4D9E-A5CA-148CA590767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4-C9C9-4D9E-A5CA-148CA590767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6-C9C9-4D9E-A5CA-148CA590767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8-C9C9-4D9E-A5CA-148CA590767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A-C9C9-4D9E-A5CA-148CA5907679}"/>
              </c:ext>
            </c:extLst>
          </c:dPt>
          <c:cat>
            <c:strRef>
              <c:f>'Pivot Table'!$A$5:$A$10</c:f>
              <c:strCache>
                <c:ptCount val="5"/>
                <c:pt idx="0">
                  <c:v>Books</c:v>
                </c:pt>
                <c:pt idx="1">
                  <c:v>Clothing</c:v>
                </c:pt>
                <c:pt idx="2">
                  <c:v>Electronics</c:v>
                </c:pt>
                <c:pt idx="3">
                  <c:v>Furniture</c:v>
                </c:pt>
                <c:pt idx="4">
                  <c:v>Office Supplies</c:v>
                </c:pt>
              </c:strCache>
            </c:strRef>
          </c:cat>
          <c:val>
            <c:numRef>
              <c:f>'Pivot Table'!$E$5:$E$10</c:f>
              <c:numCache>
                <c:formatCode>General</c:formatCode>
                <c:ptCount val="5"/>
                <c:pt idx="0">
                  <c:v>9588.0400000000009</c:v>
                </c:pt>
                <c:pt idx="1">
                  <c:v>8393.630000000001</c:v>
                </c:pt>
                <c:pt idx="2">
                  <c:v>11989.070000000003</c:v>
                </c:pt>
                <c:pt idx="3">
                  <c:v>7982.73</c:v>
                </c:pt>
                <c:pt idx="4">
                  <c:v>2295.3199999999997</c:v>
                </c:pt>
              </c:numCache>
            </c:numRef>
          </c:val>
          <c:extLst>
            <c:ext xmlns:c16="http://schemas.microsoft.com/office/drawing/2014/chart" uri="{C3380CC4-5D6E-409C-BE32-E72D297353CC}">
              <c16:uniqueId val="{0000002B-C9C9-4D9E-A5CA-148CA5907679}"/>
            </c:ext>
          </c:extLst>
        </c:ser>
        <c:ser>
          <c:idx val="4"/>
          <c:order val="4"/>
          <c:tx>
            <c:strRef>
              <c:f>'Pivot Table'!$F$3:$F$4</c:f>
              <c:strCache>
                <c:ptCount val="1"/>
                <c:pt idx="0">
                  <c:v>West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D-C9C9-4D9E-A5CA-148CA590767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F-C9C9-4D9E-A5CA-148CA590767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31-C9C9-4D9E-A5CA-148CA590767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33-C9C9-4D9E-A5CA-148CA590767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35-C9C9-4D9E-A5CA-148CA5907679}"/>
              </c:ext>
            </c:extLst>
          </c:dPt>
          <c:cat>
            <c:strRef>
              <c:f>'Pivot Table'!$A$5:$A$10</c:f>
              <c:strCache>
                <c:ptCount val="5"/>
                <c:pt idx="0">
                  <c:v>Books</c:v>
                </c:pt>
                <c:pt idx="1">
                  <c:v>Clothing</c:v>
                </c:pt>
                <c:pt idx="2">
                  <c:v>Electronics</c:v>
                </c:pt>
                <c:pt idx="3">
                  <c:v>Furniture</c:v>
                </c:pt>
                <c:pt idx="4">
                  <c:v>Office Supplies</c:v>
                </c:pt>
              </c:strCache>
            </c:strRef>
          </c:cat>
          <c:val>
            <c:numRef>
              <c:f>'Pivot Table'!$F$5:$F$10</c:f>
              <c:numCache>
                <c:formatCode>General</c:formatCode>
                <c:ptCount val="5"/>
                <c:pt idx="0">
                  <c:v>6691.17</c:v>
                </c:pt>
                <c:pt idx="1">
                  <c:v>10509.429999999998</c:v>
                </c:pt>
                <c:pt idx="2">
                  <c:v>11372.44</c:v>
                </c:pt>
                <c:pt idx="3">
                  <c:v>9182.7800000000007</c:v>
                </c:pt>
                <c:pt idx="4">
                  <c:v>6327.76</c:v>
                </c:pt>
              </c:numCache>
            </c:numRef>
          </c:val>
          <c:extLst>
            <c:ext xmlns:c16="http://schemas.microsoft.com/office/drawing/2014/chart" uri="{C3380CC4-5D6E-409C-BE32-E72D297353CC}">
              <c16:uniqueId val="{00000036-C9C9-4D9E-A5CA-148CA590767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tx1">
          <a:lumMod val="15000"/>
          <a:lumOff val="85000"/>
        </a:schemeClr>
      </a:solidFill>
      <a:round/>
    </a:ln>
    <a:effectLst>
      <a:glow rad="63500">
        <a:schemeClr val="accent5">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[PRA-2.xlsx]Pivot Table!PivotTable2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Table'!$B$14</c:f>
              <c:strCache>
                <c:ptCount val="1"/>
                <c:pt idx="0">
                  <c:v>Total</c:v>
                </c:pt>
              </c:strCache>
            </c:strRef>
          </c:tx>
          <c:spPr>
            <a:solidFill>
              <a:schemeClr val="accent1"/>
            </a:solidFill>
            <a:ln>
              <a:noFill/>
            </a:ln>
            <a:effectLst/>
          </c:spPr>
          <c:invertIfNegative val="0"/>
          <c:cat>
            <c:strRef>
              <c:f>'Pivot Table'!$A$15:$A$20</c:f>
              <c:strCache>
                <c:ptCount val="5"/>
                <c:pt idx="0">
                  <c:v>Books</c:v>
                </c:pt>
                <c:pt idx="1">
                  <c:v>Clothing</c:v>
                </c:pt>
                <c:pt idx="2">
                  <c:v>Electronics</c:v>
                </c:pt>
                <c:pt idx="3">
                  <c:v>Furniture</c:v>
                </c:pt>
                <c:pt idx="4">
                  <c:v>Office Supplies</c:v>
                </c:pt>
              </c:strCache>
            </c:strRef>
          </c:cat>
          <c:val>
            <c:numRef>
              <c:f>'Pivot Table'!$B$15:$B$20</c:f>
              <c:numCache>
                <c:formatCode>General</c:formatCode>
                <c:ptCount val="5"/>
                <c:pt idx="0">
                  <c:v>47002.460000000006</c:v>
                </c:pt>
                <c:pt idx="1">
                  <c:v>41927.589999999989</c:v>
                </c:pt>
                <c:pt idx="2">
                  <c:v>41044.000000000007</c:v>
                </c:pt>
                <c:pt idx="3">
                  <c:v>36612.89</c:v>
                </c:pt>
                <c:pt idx="4">
                  <c:v>28630.819999999992</c:v>
                </c:pt>
              </c:numCache>
            </c:numRef>
          </c:val>
          <c:extLst>
            <c:ext xmlns:c16="http://schemas.microsoft.com/office/drawing/2014/chart" uri="{C3380CC4-5D6E-409C-BE32-E72D297353CC}">
              <c16:uniqueId val="{00000000-319E-4B6A-849E-8BBA09F939F9}"/>
            </c:ext>
          </c:extLst>
        </c:ser>
        <c:dLbls>
          <c:showLegendKey val="0"/>
          <c:showVal val="0"/>
          <c:showCatName val="0"/>
          <c:showSerName val="0"/>
          <c:showPercent val="0"/>
          <c:showBubbleSize val="0"/>
        </c:dLbls>
        <c:gapWidth val="219"/>
        <c:overlap val="-27"/>
        <c:axId val="503883279"/>
        <c:axId val="503896239"/>
      </c:barChart>
      <c:catAx>
        <c:axId val="503883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503896239"/>
        <c:crosses val="autoZero"/>
        <c:auto val="1"/>
        <c:lblAlgn val="ctr"/>
        <c:lblOffset val="100"/>
        <c:noMultiLvlLbl val="0"/>
      </c:catAx>
      <c:valAx>
        <c:axId val="5038962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503883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9050" cap="flat" cmpd="sng" algn="ctr">
      <a:solidFill>
        <a:schemeClr val="accent2"/>
      </a:solidFill>
      <a:prstDash val="solid"/>
      <a:miter lim="800000"/>
    </a:ln>
    <a:effectLst>
      <a:outerShdw blurRad="50800" dist="38100" dir="2700000" algn="tl" rotWithShape="0">
        <a:prstClr val="black">
          <a:alpha val="4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[PRA-2.xlsx]Pivot Table!PivotTable1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a:t>
            </a:r>
            <a:r>
              <a:rPr lang="en-US" baseline="0"/>
              <a:t> wise Profit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Table'!$E$12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Table'!$D$13:$D$25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Table'!$E$13:$E$25</c:f>
              <c:numCache>
                <c:formatCode>General</c:formatCode>
                <c:ptCount val="12"/>
                <c:pt idx="0">
                  <c:v>5763.4</c:v>
                </c:pt>
                <c:pt idx="1">
                  <c:v>5039.2299999999996</c:v>
                </c:pt>
                <c:pt idx="2">
                  <c:v>7071.39</c:v>
                </c:pt>
                <c:pt idx="3">
                  <c:v>7642.86</c:v>
                </c:pt>
                <c:pt idx="4">
                  <c:v>6121.3499999999995</c:v>
                </c:pt>
                <c:pt idx="5">
                  <c:v>6918</c:v>
                </c:pt>
                <c:pt idx="6">
                  <c:v>3743.85</c:v>
                </c:pt>
                <c:pt idx="7">
                  <c:v>3302.84</c:v>
                </c:pt>
                <c:pt idx="8">
                  <c:v>7457.5199999999995</c:v>
                </c:pt>
                <c:pt idx="9">
                  <c:v>4861.7</c:v>
                </c:pt>
                <c:pt idx="10">
                  <c:v>6814.8799999999992</c:v>
                </c:pt>
                <c:pt idx="11">
                  <c:v>3549.99</c:v>
                </c:pt>
              </c:numCache>
            </c:numRef>
          </c:val>
          <c:smooth val="0"/>
          <c:extLst>
            <c:ext xmlns:c16="http://schemas.microsoft.com/office/drawing/2014/chart" uri="{C3380CC4-5D6E-409C-BE32-E72D297353CC}">
              <c16:uniqueId val="{00000000-E692-4BAE-BA9F-0841459A550E}"/>
            </c:ext>
          </c:extLst>
        </c:ser>
        <c:dLbls>
          <c:showLegendKey val="0"/>
          <c:showVal val="0"/>
          <c:showCatName val="0"/>
          <c:showSerName val="0"/>
          <c:showPercent val="0"/>
          <c:showBubbleSize val="0"/>
        </c:dLbls>
        <c:marker val="1"/>
        <c:smooth val="0"/>
        <c:axId val="1475995808"/>
        <c:axId val="1475996768"/>
      </c:lineChart>
      <c:catAx>
        <c:axId val="1475995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996768"/>
        <c:crosses val="autoZero"/>
        <c:auto val="1"/>
        <c:lblAlgn val="ctr"/>
        <c:lblOffset val="100"/>
        <c:noMultiLvlLbl val="0"/>
      </c:catAx>
      <c:valAx>
        <c:axId val="1475996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995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1">
          <a:lumMod val="15000"/>
          <a:lumOff val="85000"/>
        </a:schemeClr>
      </a:solidFill>
      <a:round/>
    </a:ln>
    <a:effectLst>
      <a:outerShdw blurRad="50800" dist="38100" dir="8100000" algn="tr" rotWithShape="0">
        <a:prstClr val="black">
          <a:alpha val="40000"/>
        </a:prstClr>
      </a:outerShdw>
      <a:softEdge rad="3175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3</xdr:col>
      <xdr:colOff>125506</xdr:colOff>
      <xdr:row>12</xdr:row>
      <xdr:rowOff>67236</xdr:rowOff>
    </xdr:from>
    <xdr:to>
      <xdr:col>6</xdr:col>
      <xdr:colOff>717178</xdr:colOff>
      <xdr:row>26</xdr:row>
      <xdr:rowOff>82476</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C67C72D9-70D2-BD47-3424-EADAE2959E4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814918" y="2218765"/>
              <a:ext cx="2501154" cy="25253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22861</xdr:colOff>
      <xdr:row>12</xdr:row>
      <xdr:rowOff>68580</xdr:rowOff>
    </xdr:from>
    <xdr:to>
      <xdr:col>2</xdr:col>
      <xdr:colOff>609601</xdr:colOff>
      <xdr:row>26</xdr:row>
      <xdr:rowOff>89535</xdr:rowOff>
    </xdr:to>
    <mc:AlternateContent xmlns:mc="http://schemas.openxmlformats.org/markup-compatibility/2006" xmlns:a14="http://schemas.microsoft.com/office/drawing/2010/main">
      <mc:Choice Requires="a14">
        <xdr:graphicFrame macro="">
          <xdr:nvGraphicFramePr>
            <xdr:cNvPr id="3" name="Product_Category">
              <a:extLst>
                <a:ext uri="{FF2B5EF4-FFF2-40B4-BE49-F238E27FC236}">
                  <a16:creationId xmlns:a16="http://schemas.microsoft.com/office/drawing/2014/main" id="{8009C027-0037-4D27-E7EA-6FB5445A82D0}"/>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22860" y="2263140"/>
              <a:ext cx="258318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188259</xdr:colOff>
      <xdr:row>4</xdr:row>
      <xdr:rowOff>35859</xdr:rowOff>
    </xdr:from>
    <xdr:to>
      <xdr:col>25</xdr:col>
      <xdr:colOff>304800</xdr:colOff>
      <xdr:row>26</xdr:row>
      <xdr:rowOff>62754</xdr:rowOff>
    </xdr:to>
    <xdr:graphicFrame macro="">
      <xdr:nvGraphicFramePr>
        <xdr:cNvPr id="4" name="Chart 3">
          <a:extLst>
            <a:ext uri="{FF2B5EF4-FFF2-40B4-BE49-F238E27FC236}">
              <a16:creationId xmlns:a16="http://schemas.microsoft.com/office/drawing/2014/main" id="{5A9E375A-16C5-4082-885C-8770501334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26894</xdr:colOff>
      <xdr:row>27</xdr:row>
      <xdr:rowOff>161366</xdr:rowOff>
    </xdr:from>
    <xdr:to>
      <xdr:col>11</xdr:col>
      <xdr:colOff>374724</xdr:colOff>
      <xdr:row>45</xdr:row>
      <xdr:rowOff>98612</xdr:rowOff>
    </xdr:to>
    <xdr:graphicFrame macro="">
      <xdr:nvGraphicFramePr>
        <xdr:cNvPr id="5" name="Chart 4">
          <a:extLst>
            <a:ext uri="{FF2B5EF4-FFF2-40B4-BE49-F238E27FC236}">
              <a16:creationId xmlns:a16="http://schemas.microsoft.com/office/drawing/2014/main" id="{5646F55A-C8DF-4118-B028-03BEC943CB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528918</xdr:colOff>
      <xdr:row>27</xdr:row>
      <xdr:rowOff>170330</xdr:rowOff>
    </xdr:from>
    <xdr:to>
      <xdr:col>25</xdr:col>
      <xdr:colOff>313764</xdr:colOff>
      <xdr:row>45</xdr:row>
      <xdr:rowOff>116541</xdr:rowOff>
    </xdr:to>
    <xdr:graphicFrame macro="">
      <xdr:nvGraphicFramePr>
        <xdr:cNvPr id="6" name="Chart 5">
          <a:extLst>
            <a:ext uri="{FF2B5EF4-FFF2-40B4-BE49-F238E27FC236}">
              <a16:creationId xmlns:a16="http://schemas.microsoft.com/office/drawing/2014/main" id="{7EB84D56-5F35-4395-AD7F-475B92F4FB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BHASH LAMBA" refreshedDate="46141.902224537036" createdVersion="8" refreshedVersion="8" minRefreshableVersion="3" recordCount="200" xr:uid="{22B16D27-5D27-4842-90F2-EE684C034719}">
  <cacheSource type="worksheet">
    <worksheetSource ref="A1:I201" sheet="Dataset"/>
  </cacheSource>
  <cacheFields count="9">
    <cacheField name="Customer_ID" numFmtId="0">
      <sharedItems/>
    </cacheField>
    <cacheField name="Customer_Name" numFmtId="0">
      <sharedItems/>
    </cacheField>
    <cacheField name="Region" numFmtId="0">
      <sharedItems count="5">
        <s v="West"/>
        <s v="East"/>
        <s v="South"/>
        <s v="North"/>
        <s v="Central"/>
      </sharedItems>
    </cacheField>
    <cacheField name="Product_Category" numFmtId="0">
      <sharedItems count="5">
        <s v="Books"/>
        <s v="Clothing"/>
        <s v="Electronics"/>
        <s v="Furniture"/>
        <s v="Office Supplies"/>
      </sharedItems>
    </cacheField>
    <cacheField name="Sales" numFmtId="0">
      <sharedItems containsSemiMixedTypes="0" containsString="0" containsNumber="1" minValue="258.51" maxValue="1923.66"/>
    </cacheField>
    <cacheField name="Quantity" numFmtId="0">
      <sharedItems containsSemiMixedTypes="0" containsString="0" containsNumber="1" containsInteger="1" minValue="1" maxValue="19"/>
    </cacheField>
    <cacheField name="Discount" numFmtId="0">
      <sharedItems containsSemiMixedTypes="0" containsString="0" containsNumber="1" minValue="0" maxValue="0.2"/>
    </cacheField>
    <cacheField name="Order_Date" numFmtId="14">
      <sharedItems containsSemiMixedTypes="0" containsNonDate="0" containsDate="1" containsString="0" minDate="2024-04-10T00:00:00" maxDate="2025-04-08T00:00:00"/>
    </cacheField>
    <cacheField name="Profit" numFmtId="0">
      <sharedItems containsSemiMixedTypes="0" containsString="0" containsNumber="1" minValue="64.63" maxValue="769.46"/>
    </cacheField>
  </cacheFields>
  <extLst>
    <ext xmlns:x14="http://schemas.microsoft.com/office/spreadsheetml/2009/9/main" uri="{725AE2AE-9491-48be-B2B4-4EB974FC3084}">
      <x14:pivotCacheDefinition pivotCacheId="81261354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BHASH LAMBA" refreshedDate="46142.351975231482" createdVersion="8" refreshedVersion="8" minRefreshableVersion="3" recordCount="200" xr:uid="{FB5B2612-60D2-49ED-B252-2F4D4F001639}">
  <cacheSource type="worksheet">
    <worksheetSource ref="I1:J201" sheet="Dataset"/>
  </cacheSource>
  <cacheFields count="2">
    <cacheField name="Profit" numFmtId="0">
      <sharedItems containsSemiMixedTypes="0" containsString="0" containsNumber="1" minValue="64.63" maxValue="769.46"/>
    </cacheField>
    <cacheField name="Order_Month" numFmtId="0">
      <sharedItems containsSemiMixedTypes="0" containsString="0" containsNumber="1" containsInteger="1" minValue="1" maxValue="12" count="12">
        <n v="4"/>
        <n v="5"/>
        <n v="6"/>
        <n v="7"/>
        <n v="8"/>
        <n v="9"/>
        <n v="10"/>
        <n v="11"/>
        <n v="12"/>
        <n v="1"/>
        <n v="2"/>
        <n v="3"/>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CUST019"/>
    <s v="James Davis"/>
    <x v="0"/>
    <x v="0"/>
    <n v="1036.0899999999999"/>
    <n v="4"/>
    <n v="0.2"/>
    <d v="2024-04-10T00:00:00"/>
    <n v="331.55"/>
  </r>
  <r>
    <s v="CUST012"/>
    <s v="Robert Anderson"/>
    <x v="0"/>
    <x v="1"/>
    <n v="1101.28"/>
    <n v="3"/>
    <n v="0.2"/>
    <d v="2024-04-11T00:00:00"/>
    <n v="440.51"/>
  </r>
  <r>
    <s v="CUST017"/>
    <s v="James Taylor"/>
    <x v="1"/>
    <x v="0"/>
    <n v="713.34"/>
    <n v="17"/>
    <n v="0"/>
    <d v="2024-04-14T00:00:00"/>
    <n v="285.33999999999997"/>
  </r>
  <r>
    <s v="CUST005"/>
    <s v="Robert Anderson"/>
    <x v="2"/>
    <x v="2"/>
    <n v="760.93"/>
    <n v="4"/>
    <n v="0.15"/>
    <d v="2024-04-14T00:00:00"/>
    <n v="161.69999999999999"/>
  </r>
  <r>
    <s v="CUST030"/>
    <s v="James Wilson"/>
    <x v="3"/>
    <x v="0"/>
    <n v="847"/>
    <n v="12"/>
    <n v="0.2"/>
    <d v="2024-04-15T00:00:00"/>
    <n v="271.04000000000002"/>
  </r>
  <r>
    <s v="CUST007"/>
    <s v="Michael Anderson"/>
    <x v="3"/>
    <x v="3"/>
    <n v="965.64"/>
    <n v="8"/>
    <n v="0.1"/>
    <d v="2024-04-16T00:00:00"/>
    <n v="304.18"/>
  </r>
  <r>
    <s v="CUST001"/>
    <s v="Linda Wilson"/>
    <x v="0"/>
    <x v="2"/>
    <n v="1317.53"/>
    <n v="12"/>
    <n v="0.05"/>
    <d v="2024-04-16T00:00:00"/>
    <n v="312.91000000000003"/>
  </r>
  <r>
    <s v="CUST026"/>
    <s v="Mary Davis"/>
    <x v="1"/>
    <x v="3"/>
    <n v="1074.47"/>
    <n v="6"/>
    <n v="0.2"/>
    <d v="2024-04-19T00:00:00"/>
    <n v="300.85000000000002"/>
  </r>
  <r>
    <s v="CUST009"/>
    <s v="Linda Jackson"/>
    <x v="4"/>
    <x v="0"/>
    <n v="501.54"/>
    <n v="11"/>
    <n v="0.05"/>
    <d v="2024-04-19T00:00:00"/>
    <n v="190.59"/>
  </r>
  <r>
    <s v="CUST010"/>
    <s v="David Thomas"/>
    <x v="4"/>
    <x v="1"/>
    <n v="737.31"/>
    <n v="2"/>
    <n v="0.05"/>
    <d v="2024-04-19T00:00:00"/>
    <n v="350.22"/>
  </r>
  <r>
    <s v="CUST014"/>
    <s v="Emma Davis"/>
    <x v="0"/>
    <x v="4"/>
    <n v="1572.82"/>
    <n v="6"/>
    <n v="0.05"/>
    <d v="2024-04-20T00:00:00"/>
    <n v="672.38"/>
  </r>
  <r>
    <s v="CUST014"/>
    <s v="David Thomas"/>
    <x v="4"/>
    <x v="0"/>
    <n v="1343.13"/>
    <n v="14"/>
    <n v="0.15"/>
    <d v="2024-04-22T00:00:00"/>
    <n v="456.66"/>
  </r>
  <r>
    <s v="CUST007"/>
    <s v="Michael Anderson"/>
    <x v="4"/>
    <x v="0"/>
    <n v="1191.58"/>
    <n v="14"/>
    <n v="0.05"/>
    <d v="2024-04-24T00:00:00"/>
    <n v="452.8"/>
  </r>
  <r>
    <s v="CUST023"/>
    <s v="Robert Anderson"/>
    <x v="0"/>
    <x v="3"/>
    <n v="822.28"/>
    <n v="7"/>
    <n v="0.05"/>
    <d v="2024-04-24T00:00:00"/>
    <n v="273.41000000000003"/>
  </r>
  <r>
    <s v="CUST029"/>
    <s v="David Smith"/>
    <x v="3"/>
    <x v="3"/>
    <n v="521.66999999999996"/>
    <n v="15"/>
    <n v="0.15"/>
    <d v="2024-04-27T00:00:00"/>
    <n v="155.19999999999999"/>
  </r>
  <r>
    <s v="CUST005"/>
    <s v="Sarah Anderson"/>
    <x v="2"/>
    <x v="2"/>
    <n v="1502.93"/>
    <n v="14"/>
    <n v="0.2"/>
    <d v="2024-04-28T00:00:00"/>
    <n v="300.58999999999997"/>
  </r>
  <r>
    <s v="CUST008"/>
    <s v="Robert Anderson"/>
    <x v="2"/>
    <x v="0"/>
    <n v="877.58"/>
    <n v="10"/>
    <n v="0.15"/>
    <d v="2024-04-29T00:00:00"/>
    <n v="298.38"/>
  </r>
  <r>
    <s v="CUST001"/>
    <s v="Lisa Thomas"/>
    <x v="0"/>
    <x v="0"/>
    <n v="636.70000000000005"/>
    <n v="4"/>
    <n v="0.2"/>
    <d v="2024-04-29T00:00:00"/>
    <n v="203.74"/>
  </r>
  <r>
    <s v="CUST006"/>
    <s v="Mary Jackson"/>
    <x v="0"/>
    <x v="0"/>
    <n v="1506.14"/>
    <n v="13"/>
    <n v="0.2"/>
    <d v="2024-04-30T00:00:00"/>
    <n v="481.96"/>
  </r>
  <r>
    <s v="CUST026"/>
    <s v="Mary Davis"/>
    <x v="4"/>
    <x v="2"/>
    <n v="645.02"/>
    <n v="4"/>
    <n v="0"/>
    <d v="2024-05-02T00:00:00"/>
    <n v="161.26"/>
  </r>
  <r>
    <s v="CUST007"/>
    <s v="Lisa Davis"/>
    <x v="2"/>
    <x v="1"/>
    <n v="953.3"/>
    <n v="11"/>
    <n v="0"/>
    <d v="2024-05-03T00:00:00"/>
    <n v="476.65"/>
  </r>
  <r>
    <s v="CUST022"/>
    <s v="Robert Anderson"/>
    <x v="3"/>
    <x v="2"/>
    <n v="388.56"/>
    <n v="14"/>
    <n v="0.15"/>
    <d v="2024-05-04T00:00:00"/>
    <n v="82.57"/>
  </r>
  <r>
    <s v="CUST019"/>
    <s v="Mary Davis"/>
    <x v="0"/>
    <x v="0"/>
    <n v="743.17"/>
    <n v="9"/>
    <n v="0"/>
    <d v="2024-05-04T00:00:00"/>
    <n v="297.27"/>
  </r>
  <r>
    <s v="CUST023"/>
    <s v="Mary Davis"/>
    <x v="4"/>
    <x v="2"/>
    <n v="706.37"/>
    <n v="6"/>
    <n v="0"/>
    <d v="2024-05-04T00:00:00"/>
    <n v="176.59"/>
  </r>
  <r>
    <s v="CUST012"/>
    <s v="Mary Davis"/>
    <x v="4"/>
    <x v="4"/>
    <n v="925.31"/>
    <n v="8"/>
    <n v="0.1"/>
    <d v="2024-05-06T00:00:00"/>
    <n v="374.75"/>
  </r>
  <r>
    <s v="CUST010"/>
    <s v="Linda Brown"/>
    <x v="2"/>
    <x v="2"/>
    <n v="1173.1199999999999"/>
    <n v="18"/>
    <n v="0"/>
    <d v="2024-05-06T00:00:00"/>
    <n v="293.27999999999997"/>
  </r>
  <r>
    <s v="CUST030"/>
    <s v="John Brown"/>
    <x v="3"/>
    <x v="3"/>
    <n v="675.54"/>
    <n v="17"/>
    <n v="0"/>
    <d v="2024-05-08T00:00:00"/>
    <n v="236.44"/>
  </r>
  <r>
    <s v="CUST007"/>
    <s v="Robert Anderson"/>
    <x v="4"/>
    <x v="0"/>
    <n v="939.09"/>
    <n v="2"/>
    <n v="0.05"/>
    <d v="2024-05-10T00:00:00"/>
    <n v="356.85"/>
  </r>
  <r>
    <s v="CUST028"/>
    <s v="Linda Taylor"/>
    <x v="1"/>
    <x v="4"/>
    <n v="983.34"/>
    <n v="19"/>
    <n v="0.1"/>
    <d v="2024-05-14T00:00:00"/>
    <n v="398.25"/>
  </r>
  <r>
    <s v="CUST028"/>
    <s v="James Wilson"/>
    <x v="2"/>
    <x v="2"/>
    <n v="801.21"/>
    <n v="3"/>
    <n v="0.2"/>
    <d v="2024-05-14T00:00:00"/>
    <n v="160.24"/>
  </r>
  <r>
    <s v="CUST025"/>
    <s v="David Brown"/>
    <x v="3"/>
    <x v="2"/>
    <n v="1450.71"/>
    <n v="5"/>
    <n v="0.1"/>
    <d v="2024-05-15T00:00:00"/>
    <n v="326.41000000000003"/>
  </r>
  <r>
    <s v="CUST022"/>
    <s v="David Davis"/>
    <x v="4"/>
    <x v="0"/>
    <n v="1023.21"/>
    <n v="18"/>
    <n v="0.05"/>
    <d v="2024-05-16T00:00:00"/>
    <n v="388.82"/>
  </r>
  <r>
    <s v="CUST001"/>
    <s v="Mary Jackson"/>
    <x v="0"/>
    <x v="3"/>
    <n v="853.72"/>
    <n v="5"/>
    <n v="0.15"/>
    <d v="2024-05-16T00:00:00"/>
    <n v="253.98"/>
  </r>
  <r>
    <s v="CUST021"/>
    <s v="Sarah Anderson"/>
    <x v="2"/>
    <x v="2"/>
    <n v="967.89"/>
    <n v="10"/>
    <n v="0.1"/>
    <d v="2024-05-17T00:00:00"/>
    <n v="217.78"/>
  </r>
  <r>
    <s v="CUST015"/>
    <s v="Linda Taylor"/>
    <x v="3"/>
    <x v="4"/>
    <n v="1200.9000000000001"/>
    <n v="14"/>
    <n v="0.05"/>
    <d v="2024-05-17T00:00:00"/>
    <n v="513.38"/>
  </r>
  <r>
    <s v="CUST012"/>
    <s v="Michael Anderson"/>
    <x v="0"/>
    <x v="0"/>
    <n v="472.38"/>
    <n v="12"/>
    <n v="0.2"/>
    <d v="2024-05-17T00:00:00"/>
    <n v="151.16"/>
  </r>
  <r>
    <s v="CUST019"/>
    <s v="David Brown"/>
    <x v="1"/>
    <x v="4"/>
    <n v="840.92"/>
    <n v="9"/>
    <n v="0.05"/>
    <d v="2024-05-17T00:00:00"/>
    <n v="359.49"/>
  </r>
  <r>
    <s v="CUST028"/>
    <s v="Lisa Davis"/>
    <x v="4"/>
    <x v="3"/>
    <n v="1410.06"/>
    <n v="11"/>
    <n v="0.05"/>
    <d v="2024-05-22T00:00:00"/>
    <n v="468.84"/>
  </r>
  <r>
    <s v="CUST008"/>
    <s v="Mary Wilson"/>
    <x v="4"/>
    <x v="3"/>
    <n v="773.09"/>
    <n v="13"/>
    <n v="0.15"/>
    <d v="2024-05-22T00:00:00"/>
    <n v="229.99"/>
  </r>
  <r>
    <s v="CUST016"/>
    <s v="Emma Wilson"/>
    <x v="1"/>
    <x v="0"/>
    <n v="580.42999999999995"/>
    <n v="19"/>
    <n v="0.15"/>
    <d v="2024-05-23T00:00:00"/>
    <n v="197.35"/>
  </r>
  <r>
    <s v="CUST005"/>
    <s v="David Smith"/>
    <x v="2"/>
    <x v="0"/>
    <n v="1151.21"/>
    <n v="15"/>
    <n v="0.1"/>
    <d v="2024-06-02T00:00:00"/>
    <n v="414.44"/>
  </r>
  <r>
    <s v="CUST028"/>
    <s v="James Wilson"/>
    <x v="4"/>
    <x v="4"/>
    <n v="1025.98"/>
    <n v="5"/>
    <n v="0.2"/>
    <d v="2024-06-04T00:00:00"/>
    <n v="369.35"/>
  </r>
  <r>
    <s v="CUST023"/>
    <s v="David Davis"/>
    <x v="1"/>
    <x v="4"/>
    <n v="556.41999999999996"/>
    <n v="11"/>
    <n v="0.15"/>
    <d v="2024-06-04T00:00:00"/>
    <n v="212.83"/>
  </r>
  <r>
    <s v="CUST021"/>
    <s v="James Wilson"/>
    <x v="4"/>
    <x v="0"/>
    <n v="840.85"/>
    <n v="19"/>
    <n v="0.1"/>
    <d v="2024-06-05T00:00:00"/>
    <n v="302.70999999999998"/>
  </r>
  <r>
    <s v="CUST026"/>
    <s v="Emma Wilson"/>
    <x v="3"/>
    <x v="3"/>
    <n v="1227.25"/>
    <n v="12"/>
    <n v="0.15"/>
    <d v="2024-06-05T00:00:00"/>
    <n v="365.11"/>
  </r>
  <r>
    <s v="CUST017"/>
    <s v="Linda Davis"/>
    <x v="4"/>
    <x v="2"/>
    <n v="856.7"/>
    <n v="2"/>
    <n v="0"/>
    <d v="2024-06-06T00:00:00"/>
    <n v="214.18"/>
  </r>
  <r>
    <s v="CUST025"/>
    <s v="David Davis"/>
    <x v="4"/>
    <x v="4"/>
    <n v="1225.42"/>
    <n v="8"/>
    <n v="0.15"/>
    <d v="2024-06-06T00:00:00"/>
    <n v="468.72"/>
  </r>
  <r>
    <s v="CUST011"/>
    <s v="Mary Davis"/>
    <x v="3"/>
    <x v="4"/>
    <n v="1001.57"/>
    <n v="12"/>
    <n v="0"/>
    <d v="2024-06-07T00:00:00"/>
    <n v="450.71"/>
  </r>
  <r>
    <s v="CUST021"/>
    <s v="Michael Anderson"/>
    <x v="1"/>
    <x v="3"/>
    <n v="1186.8499999999999"/>
    <n v="19"/>
    <n v="0.2"/>
    <d v="2024-06-08T00:00:00"/>
    <n v="332.32"/>
  </r>
  <r>
    <s v="CUST008"/>
    <s v="John Brown"/>
    <x v="2"/>
    <x v="2"/>
    <n v="775.45"/>
    <n v="6"/>
    <n v="0.1"/>
    <d v="2024-06-14T00:00:00"/>
    <n v="174.48"/>
  </r>
  <r>
    <s v="CUST007"/>
    <s v="Linda Jackson"/>
    <x v="2"/>
    <x v="2"/>
    <n v="1021.47"/>
    <n v="6"/>
    <n v="0.05"/>
    <d v="2024-06-18T00:00:00"/>
    <n v="242.6"/>
  </r>
  <r>
    <s v="CUST015"/>
    <s v="James Wilson"/>
    <x v="2"/>
    <x v="1"/>
    <n v="1226.6199999999999"/>
    <n v="7"/>
    <n v="0.1"/>
    <d v="2024-06-20T00:00:00"/>
    <n v="551.98"/>
  </r>
  <r>
    <s v="CUST030"/>
    <s v="Sarah Davis"/>
    <x v="2"/>
    <x v="3"/>
    <n v="1086.93"/>
    <n v="2"/>
    <n v="0"/>
    <d v="2024-06-21T00:00:00"/>
    <n v="380.43"/>
  </r>
  <r>
    <s v="CUST002"/>
    <s v="Lisa Davis"/>
    <x v="0"/>
    <x v="0"/>
    <n v="942.9"/>
    <n v="18"/>
    <n v="0.1"/>
    <d v="2024-06-23T00:00:00"/>
    <n v="339.44"/>
  </r>
  <r>
    <s v="CUST009"/>
    <s v="Emma Davis"/>
    <x v="3"/>
    <x v="2"/>
    <n v="818.8"/>
    <n v="15"/>
    <n v="0.15"/>
    <d v="2024-06-25T00:00:00"/>
    <n v="173.99"/>
  </r>
  <r>
    <s v="CUST005"/>
    <s v="Robert Anderson"/>
    <x v="2"/>
    <x v="3"/>
    <n v="919.04"/>
    <n v="10"/>
    <n v="0.2"/>
    <d v="2024-06-25T00:00:00"/>
    <n v="257.33"/>
  </r>
  <r>
    <s v="CUST030"/>
    <s v="Emma Taylor"/>
    <x v="4"/>
    <x v="0"/>
    <n v="973.26"/>
    <n v="11"/>
    <n v="0"/>
    <d v="2024-06-27T00:00:00"/>
    <n v="389.3"/>
  </r>
  <r>
    <s v="CUST029"/>
    <s v="Sarah Davis"/>
    <x v="3"/>
    <x v="2"/>
    <n v="741.61"/>
    <n v="1"/>
    <n v="0.2"/>
    <d v="2024-06-28T00:00:00"/>
    <n v="148.32"/>
  </r>
  <r>
    <s v="CUST003"/>
    <s v="Emma Davis"/>
    <x v="3"/>
    <x v="0"/>
    <n v="1248.82"/>
    <n v="2"/>
    <n v="0.1"/>
    <d v="2024-06-30T00:00:00"/>
    <n v="449.58"/>
  </r>
  <r>
    <s v="CUST012"/>
    <s v="Mary Wilson"/>
    <x v="0"/>
    <x v="1"/>
    <n v="1360.36"/>
    <n v="17"/>
    <n v="0"/>
    <d v="2024-06-30T00:00:00"/>
    <n v="680.18"/>
  </r>
  <r>
    <s v="CUST021"/>
    <s v="Mary Davis"/>
    <x v="1"/>
    <x v="0"/>
    <n v="1383.3"/>
    <n v="8"/>
    <n v="0.1"/>
    <d v="2024-07-05T00:00:00"/>
    <n v="497.99"/>
  </r>
  <r>
    <s v="CUST010"/>
    <s v="David Brown"/>
    <x v="4"/>
    <x v="4"/>
    <n v="488.99"/>
    <n v="9"/>
    <n v="0"/>
    <d v="2024-07-06T00:00:00"/>
    <n v="220.05"/>
  </r>
  <r>
    <s v="CUST026"/>
    <s v="Mary Davis"/>
    <x v="1"/>
    <x v="3"/>
    <n v="933.71"/>
    <n v="17"/>
    <n v="0.1"/>
    <d v="2024-07-08T00:00:00"/>
    <n v="294.12"/>
  </r>
  <r>
    <s v="CUST003"/>
    <s v="James Davis"/>
    <x v="0"/>
    <x v="2"/>
    <n v="1005.53"/>
    <n v="17"/>
    <n v="0.2"/>
    <d v="2024-07-08T00:00:00"/>
    <n v="201.11"/>
  </r>
  <r>
    <s v="CUST029"/>
    <s v="Emma Wilson"/>
    <x v="2"/>
    <x v="2"/>
    <n v="1100.0999999999999"/>
    <n v="5"/>
    <n v="0.05"/>
    <d v="2024-07-09T00:00:00"/>
    <n v="261.27"/>
  </r>
  <r>
    <s v="CUST003"/>
    <s v="James Wilson"/>
    <x v="3"/>
    <x v="3"/>
    <n v="1034.7"/>
    <n v="15"/>
    <n v="0.15"/>
    <d v="2024-07-14T00:00:00"/>
    <n v="307.82"/>
  </r>
  <r>
    <s v="CUST002"/>
    <s v="Mary Davis"/>
    <x v="2"/>
    <x v="0"/>
    <n v="876.44"/>
    <n v="12"/>
    <n v="0.05"/>
    <d v="2024-07-15T00:00:00"/>
    <n v="333.05"/>
  </r>
  <r>
    <s v="CUST020"/>
    <s v="David Brown"/>
    <x v="0"/>
    <x v="3"/>
    <n v="1371.34"/>
    <n v="5"/>
    <n v="0.05"/>
    <d v="2024-07-15T00:00:00"/>
    <n v="455.97"/>
  </r>
  <r>
    <s v="CUST021"/>
    <s v="Mary Jackson"/>
    <x v="3"/>
    <x v="2"/>
    <n v="1020.26"/>
    <n v="11"/>
    <n v="0.05"/>
    <d v="2024-07-21T00:00:00"/>
    <n v="242.31"/>
  </r>
  <r>
    <s v="CUST008"/>
    <s v="James Davis"/>
    <x v="4"/>
    <x v="4"/>
    <n v="804.81"/>
    <n v="1"/>
    <n v="0.05"/>
    <d v="2024-07-29T00:00:00"/>
    <n v="344.06"/>
  </r>
  <r>
    <s v="CUST030"/>
    <s v="David Brown"/>
    <x v="4"/>
    <x v="2"/>
    <n v="608.66"/>
    <n v="1"/>
    <n v="0.05"/>
    <d v="2024-07-30T00:00:00"/>
    <n v="144.56"/>
  </r>
  <r>
    <s v="CUST020"/>
    <s v="Linda Moore"/>
    <x v="2"/>
    <x v="4"/>
    <n v="981.2"/>
    <n v="19"/>
    <n v="0"/>
    <d v="2024-07-31T00:00:00"/>
    <n v="441.54"/>
  </r>
  <r>
    <s v="CUST024"/>
    <s v="David Brown"/>
    <x v="1"/>
    <x v="2"/>
    <n v="539.77"/>
    <n v="10"/>
    <n v="0.15"/>
    <d v="2024-08-05T00:00:00"/>
    <n v="114.7"/>
  </r>
  <r>
    <s v="CUST012"/>
    <s v="David Anderson"/>
    <x v="2"/>
    <x v="0"/>
    <n v="804.45"/>
    <n v="5"/>
    <n v="0.2"/>
    <d v="2024-08-05T00:00:00"/>
    <n v="257.42"/>
  </r>
  <r>
    <s v="CUST024"/>
    <s v="Emma Davis"/>
    <x v="0"/>
    <x v="2"/>
    <n v="1526.6"/>
    <n v="13"/>
    <n v="0.2"/>
    <d v="2024-08-08T00:00:00"/>
    <n v="305.32"/>
  </r>
  <r>
    <s v="CUST012"/>
    <s v="Linda Wilson"/>
    <x v="0"/>
    <x v="2"/>
    <n v="1215.26"/>
    <n v="5"/>
    <n v="0.15"/>
    <d v="2024-08-09T00:00:00"/>
    <n v="258.24"/>
  </r>
  <r>
    <s v="CUST005"/>
    <s v="Linda Taylor"/>
    <x v="4"/>
    <x v="3"/>
    <n v="1261.3399999999999"/>
    <n v="3"/>
    <n v="0"/>
    <d v="2024-08-15T00:00:00"/>
    <n v="441.47"/>
  </r>
  <r>
    <s v="CUST004"/>
    <s v="Lisa Thomas"/>
    <x v="3"/>
    <x v="3"/>
    <n v="518.07000000000005"/>
    <n v="7"/>
    <n v="0.05"/>
    <d v="2024-08-18T00:00:00"/>
    <n v="172.26"/>
  </r>
  <r>
    <s v="CUST026"/>
    <s v="Linda Wilson"/>
    <x v="0"/>
    <x v="4"/>
    <n v="1111.3399999999999"/>
    <n v="1"/>
    <n v="0"/>
    <d v="2024-08-19T00:00:00"/>
    <n v="500.1"/>
  </r>
  <r>
    <s v="CUST030"/>
    <s v="Mary Davis"/>
    <x v="1"/>
    <x v="1"/>
    <n v="1291.47"/>
    <n v="18"/>
    <n v="0.1"/>
    <d v="2024-08-22T00:00:00"/>
    <n v="581.16"/>
  </r>
  <r>
    <s v="CUST007"/>
    <s v="David Brown"/>
    <x v="3"/>
    <x v="0"/>
    <n v="679.71"/>
    <n v="19"/>
    <n v="0"/>
    <d v="2024-08-30T00:00:00"/>
    <n v="271.88"/>
  </r>
  <r>
    <s v="CUST020"/>
    <s v="Linda Jackson"/>
    <x v="1"/>
    <x v="3"/>
    <n v="1143.69"/>
    <n v="17"/>
    <n v="0"/>
    <d v="2024-08-30T00:00:00"/>
    <n v="400.29"/>
  </r>
  <r>
    <s v="CUST028"/>
    <s v="Linda Brown"/>
    <x v="4"/>
    <x v="2"/>
    <n v="790.08"/>
    <n v="7"/>
    <n v="0.1"/>
    <d v="2024-09-01T00:00:00"/>
    <n v="177.77"/>
  </r>
  <r>
    <s v="CUST005"/>
    <s v="Lisa Davis"/>
    <x v="4"/>
    <x v="0"/>
    <n v="1070.68"/>
    <n v="7"/>
    <n v="0.05"/>
    <d v="2024-09-01T00:00:00"/>
    <n v="406.86"/>
  </r>
  <r>
    <s v="CUST015"/>
    <s v="David Thomas"/>
    <x v="0"/>
    <x v="1"/>
    <n v="1168.8900000000001"/>
    <n v="4"/>
    <n v="0.1"/>
    <d v="2024-09-09T00:00:00"/>
    <n v="526"/>
  </r>
  <r>
    <s v="CUST003"/>
    <s v="James Davis"/>
    <x v="2"/>
    <x v="2"/>
    <n v="1335.87"/>
    <n v="17"/>
    <n v="0"/>
    <d v="2024-09-09T00:00:00"/>
    <n v="333.97"/>
  </r>
  <r>
    <s v="CUST023"/>
    <s v="David Brown"/>
    <x v="1"/>
    <x v="3"/>
    <n v="873.7"/>
    <n v="9"/>
    <n v="0"/>
    <d v="2024-09-11T00:00:00"/>
    <n v="305.8"/>
  </r>
  <r>
    <s v="CUST004"/>
    <s v="Sarah Davis"/>
    <x v="0"/>
    <x v="4"/>
    <n v="1443.98"/>
    <n v="19"/>
    <n v="0"/>
    <d v="2024-09-12T00:00:00"/>
    <n v="649.79"/>
  </r>
  <r>
    <s v="CUST023"/>
    <s v="James Wilson"/>
    <x v="1"/>
    <x v="4"/>
    <n v="1154.33"/>
    <n v="11"/>
    <n v="0.15"/>
    <d v="2024-09-14T00:00:00"/>
    <n v="441.53"/>
  </r>
  <r>
    <s v="CUST022"/>
    <s v="Linda Brown"/>
    <x v="2"/>
    <x v="0"/>
    <n v="1264.49"/>
    <n v="16"/>
    <n v="0.05"/>
    <d v="2024-09-14T00:00:00"/>
    <n v="480.51"/>
  </r>
  <r>
    <s v="CUST007"/>
    <s v="Emma Taylor"/>
    <x v="0"/>
    <x v="3"/>
    <n v="1101.55"/>
    <n v="4"/>
    <n v="0.1"/>
    <d v="2024-09-16T00:00:00"/>
    <n v="346.99"/>
  </r>
  <r>
    <s v="CUST013"/>
    <s v="Robert Anderson"/>
    <x v="2"/>
    <x v="3"/>
    <n v="727.73"/>
    <n v="1"/>
    <n v="0.1"/>
    <d v="2024-09-17T00:00:00"/>
    <n v="229.23"/>
  </r>
  <r>
    <s v="CUST027"/>
    <s v="Emma Davis"/>
    <x v="1"/>
    <x v="4"/>
    <n v="875.41"/>
    <n v="13"/>
    <n v="0.15"/>
    <d v="2024-09-17T00:00:00"/>
    <n v="334.84"/>
  </r>
  <r>
    <s v="CUST003"/>
    <s v="James Wilson"/>
    <x v="0"/>
    <x v="2"/>
    <n v="1158.94"/>
    <n v="19"/>
    <n v="0.2"/>
    <d v="2024-09-18T00:00:00"/>
    <n v="231.79"/>
  </r>
  <r>
    <s v="CUST018"/>
    <s v="Mary Jackson"/>
    <x v="2"/>
    <x v="0"/>
    <n v="966.3"/>
    <n v="2"/>
    <n v="0.15"/>
    <d v="2024-09-22T00:00:00"/>
    <n v="328.54"/>
  </r>
  <r>
    <s v="CUST020"/>
    <s v="James Taylor"/>
    <x v="2"/>
    <x v="0"/>
    <n v="917.48"/>
    <n v="6"/>
    <n v="0"/>
    <d v="2024-09-23T00:00:00"/>
    <n v="366.99"/>
  </r>
  <r>
    <s v="CUST029"/>
    <s v="Emma Wilson"/>
    <x v="0"/>
    <x v="3"/>
    <n v="1172.97"/>
    <n v="7"/>
    <n v="0.15"/>
    <d v="2024-09-24T00:00:00"/>
    <n v="348.96"/>
  </r>
  <r>
    <s v="CUST021"/>
    <s v="James Wilson"/>
    <x v="3"/>
    <x v="1"/>
    <n v="1205.82"/>
    <n v="11"/>
    <n v="0.1"/>
    <d v="2024-09-24T00:00:00"/>
    <n v="542.62"/>
  </r>
  <r>
    <s v="CUST017"/>
    <s v="Sarah Davis"/>
    <x v="0"/>
    <x v="4"/>
    <n v="826.93"/>
    <n v="10"/>
    <n v="0.2"/>
    <d v="2024-09-29T00:00:00"/>
    <n v="297.69"/>
  </r>
  <r>
    <s v="CUST003"/>
    <s v="James Wilson"/>
    <x v="4"/>
    <x v="1"/>
    <n v="902.19"/>
    <n v="12"/>
    <n v="0"/>
    <d v="2024-09-29T00:00:00"/>
    <n v="451.1"/>
  </r>
  <r>
    <s v="CUST027"/>
    <s v="Emma Davis"/>
    <x v="3"/>
    <x v="0"/>
    <n v="585.97"/>
    <n v="17"/>
    <n v="0.1"/>
    <d v="2024-09-30T00:00:00"/>
    <n v="210.95"/>
  </r>
  <r>
    <s v="CUST016"/>
    <s v="Michael Anderson"/>
    <x v="3"/>
    <x v="1"/>
    <n v="990.19"/>
    <n v="8"/>
    <n v="0.1"/>
    <d v="2024-09-30T00:00:00"/>
    <n v="445.59"/>
  </r>
  <r>
    <s v="CUST008"/>
    <s v="David Davis"/>
    <x v="4"/>
    <x v="2"/>
    <n v="1014.09"/>
    <n v="13"/>
    <n v="0.2"/>
    <d v="2024-10-02T00:00:00"/>
    <n v="202.82"/>
  </r>
  <r>
    <s v="CUST012"/>
    <s v="Lisa Davis"/>
    <x v="3"/>
    <x v="2"/>
    <n v="925.29"/>
    <n v="17"/>
    <n v="0"/>
    <d v="2024-10-05T00:00:00"/>
    <n v="231.32"/>
  </r>
  <r>
    <s v="CUST025"/>
    <s v="Mary Jackson"/>
    <x v="1"/>
    <x v="3"/>
    <n v="1286.54"/>
    <n v="8"/>
    <n v="0"/>
    <d v="2024-10-10T00:00:00"/>
    <n v="450.29"/>
  </r>
  <r>
    <s v="CUST014"/>
    <s v="Sarah Davis"/>
    <x v="2"/>
    <x v="0"/>
    <n v="961.62"/>
    <n v="8"/>
    <n v="0.2"/>
    <d v="2024-10-12T00:00:00"/>
    <n v="307.72000000000003"/>
  </r>
  <r>
    <s v="CUST008"/>
    <s v="James Wilson"/>
    <x v="1"/>
    <x v="0"/>
    <n v="1081.1400000000001"/>
    <n v="19"/>
    <n v="0.15"/>
    <d v="2024-10-12T00:00:00"/>
    <n v="367.59"/>
  </r>
  <r>
    <s v="CUST015"/>
    <s v="James Wilson"/>
    <x v="0"/>
    <x v="1"/>
    <n v="1923.66"/>
    <n v="9"/>
    <n v="0.2"/>
    <d v="2024-10-15T00:00:00"/>
    <n v="769.46"/>
  </r>
  <r>
    <s v="CUST025"/>
    <s v="Emma Taylor"/>
    <x v="4"/>
    <x v="1"/>
    <n v="728.71"/>
    <n v="14"/>
    <n v="0.1"/>
    <d v="2024-10-16T00:00:00"/>
    <n v="327.92"/>
  </r>
  <r>
    <s v="CUST019"/>
    <s v="Linda Jackson"/>
    <x v="4"/>
    <x v="1"/>
    <n v="1301.8900000000001"/>
    <n v="7"/>
    <n v="0.15"/>
    <d v="2024-10-16T00:00:00"/>
    <n v="553.29999999999995"/>
  </r>
  <r>
    <s v="CUST024"/>
    <s v="Emma Taylor"/>
    <x v="1"/>
    <x v="0"/>
    <n v="980.18"/>
    <n v="16"/>
    <n v="0.1"/>
    <d v="2024-10-17T00:00:00"/>
    <n v="352.86"/>
  </r>
  <r>
    <s v="CUST027"/>
    <s v="James Wilson"/>
    <x v="0"/>
    <x v="1"/>
    <n v="697.57"/>
    <n v="17"/>
    <n v="0.1"/>
    <d v="2024-10-19T00:00:00"/>
    <n v="313.91000000000003"/>
  </r>
  <r>
    <s v="CUST006"/>
    <s v="David Anderson"/>
    <x v="0"/>
    <x v="3"/>
    <n v="1193.6099999999999"/>
    <n v="1"/>
    <n v="0.15"/>
    <d v="2024-10-19T00:00:00"/>
    <n v="355.1"/>
  </r>
  <r>
    <s v="CUST009"/>
    <s v="Emma Davis"/>
    <x v="2"/>
    <x v="2"/>
    <n v="771.02"/>
    <n v="1"/>
    <n v="0"/>
    <d v="2024-10-20T00:00:00"/>
    <n v="192.76"/>
  </r>
  <r>
    <s v="CUST003"/>
    <s v="Linda Moore"/>
    <x v="3"/>
    <x v="1"/>
    <n v="661.09"/>
    <n v="1"/>
    <n v="0.2"/>
    <d v="2024-10-28T00:00:00"/>
    <n v="264.44"/>
  </r>
  <r>
    <s v="CUST012"/>
    <s v="David Brown"/>
    <x v="0"/>
    <x v="2"/>
    <n v="688.83"/>
    <n v="15"/>
    <n v="0"/>
    <d v="2024-10-30T00:00:00"/>
    <n v="172.21"/>
  </r>
  <r>
    <s v="CUST013"/>
    <s v="Linda Wilson"/>
    <x v="4"/>
    <x v="0"/>
    <n v="1249.0999999999999"/>
    <n v="4"/>
    <n v="0.05"/>
    <d v="2024-11-01T00:00:00"/>
    <n v="474.66"/>
  </r>
  <r>
    <s v="CUST008"/>
    <s v="James Wilson"/>
    <x v="1"/>
    <x v="4"/>
    <n v="1014.22"/>
    <n v="14"/>
    <n v="0.05"/>
    <d v="2024-11-03T00:00:00"/>
    <n v="433.58"/>
  </r>
  <r>
    <s v="CUST025"/>
    <s v="Lisa Davis"/>
    <x v="1"/>
    <x v="0"/>
    <n v="1010.58"/>
    <n v="2"/>
    <n v="0.15"/>
    <d v="2024-11-09T00:00:00"/>
    <n v="343.6"/>
  </r>
  <r>
    <s v="CUST026"/>
    <s v="Mary Wilson"/>
    <x v="3"/>
    <x v="3"/>
    <n v="957.29"/>
    <n v="4"/>
    <n v="0.05"/>
    <d v="2024-11-09T00:00:00"/>
    <n v="318.3"/>
  </r>
  <r>
    <s v="CUST001"/>
    <s v="Lisa Thomas"/>
    <x v="3"/>
    <x v="3"/>
    <n v="1077.92"/>
    <n v="3"/>
    <n v="0.05"/>
    <d v="2024-11-12T00:00:00"/>
    <n v="358.41"/>
  </r>
  <r>
    <s v="CUST028"/>
    <s v="Linda Brown"/>
    <x v="2"/>
    <x v="1"/>
    <n v="1163.01"/>
    <n v="5"/>
    <n v="0"/>
    <d v="2024-11-15T00:00:00"/>
    <n v="581.5"/>
  </r>
  <r>
    <s v="CUST025"/>
    <s v="Lisa Thomas"/>
    <x v="1"/>
    <x v="4"/>
    <n v="1014.56"/>
    <n v="10"/>
    <n v="0.1"/>
    <d v="2024-11-16T00:00:00"/>
    <n v="410.9"/>
  </r>
  <r>
    <s v="CUST019"/>
    <s v="James Taylor"/>
    <x v="2"/>
    <x v="2"/>
    <n v="718.04"/>
    <n v="14"/>
    <n v="0"/>
    <d v="2024-11-17T00:00:00"/>
    <n v="179.51"/>
  </r>
  <r>
    <s v="CUST004"/>
    <s v="James Taylor"/>
    <x v="4"/>
    <x v="1"/>
    <n v="1277.8499999999999"/>
    <n v="18"/>
    <n v="0.2"/>
    <d v="2024-11-17T00:00:00"/>
    <n v="511.14"/>
  </r>
  <r>
    <s v="CUST024"/>
    <s v="James Wilson"/>
    <x v="3"/>
    <x v="2"/>
    <n v="706.73"/>
    <n v="1"/>
    <n v="0.15"/>
    <d v="2024-11-17T00:00:00"/>
    <n v="150.18"/>
  </r>
  <r>
    <s v="CUST002"/>
    <s v="Linda Brown"/>
    <x v="1"/>
    <x v="2"/>
    <n v="1410.59"/>
    <n v="15"/>
    <n v="0"/>
    <d v="2024-11-19T00:00:00"/>
    <n v="352.65"/>
  </r>
  <r>
    <s v="CUST009"/>
    <s v="Emma Wilson"/>
    <x v="2"/>
    <x v="3"/>
    <n v="1350.33"/>
    <n v="10"/>
    <n v="0"/>
    <d v="2024-11-19T00:00:00"/>
    <n v="472.62"/>
  </r>
  <r>
    <s v="CUST029"/>
    <s v="Lisa Thomas"/>
    <x v="1"/>
    <x v="2"/>
    <n v="919.18"/>
    <n v="4"/>
    <n v="0.15"/>
    <d v="2024-11-19T00:00:00"/>
    <n v="195.33"/>
  </r>
  <r>
    <s v="CUST027"/>
    <s v="James Wilson"/>
    <x v="0"/>
    <x v="2"/>
    <n v="258.51"/>
    <n v="19"/>
    <n v="0"/>
    <d v="2024-11-20T00:00:00"/>
    <n v="64.63"/>
  </r>
  <r>
    <s v="CUST011"/>
    <s v="Emma Wilson"/>
    <x v="1"/>
    <x v="0"/>
    <n v="1213.48"/>
    <n v="5"/>
    <n v="0.05"/>
    <d v="2024-11-20T00:00:00"/>
    <n v="461.12"/>
  </r>
  <r>
    <s v="CUST021"/>
    <s v="Emma Davis"/>
    <x v="4"/>
    <x v="0"/>
    <n v="1150.28"/>
    <n v="8"/>
    <n v="0.05"/>
    <d v="2024-11-26T00:00:00"/>
    <n v="437.11"/>
  </r>
  <r>
    <s v="CUST014"/>
    <s v="David Anderson"/>
    <x v="2"/>
    <x v="3"/>
    <n v="853.86"/>
    <n v="8"/>
    <n v="0.1"/>
    <d v="2024-11-26T00:00:00"/>
    <n v="268.97000000000003"/>
  </r>
  <r>
    <s v="CUST018"/>
    <s v="Lisa Thomas"/>
    <x v="2"/>
    <x v="2"/>
    <n v="1061.04"/>
    <n v="1"/>
    <n v="0"/>
    <d v="2024-11-28T00:00:00"/>
    <n v="265.26"/>
  </r>
  <r>
    <s v="CUST001"/>
    <s v="Sarah Anderson"/>
    <x v="0"/>
    <x v="2"/>
    <n v="894.55"/>
    <n v="19"/>
    <n v="0.2"/>
    <d v="2024-11-29T00:00:00"/>
    <n v="178.91"/>
  </r>
  <r>
    <s v="CUST007"/>
    <s v="Emma Davis"/>
    <x v="3"/>
    <x v="4"/>
    <n v="833.91"/>
    <n v="3"/>
    <n v="0.05"/>
    <d v="2024-11-30T00:00:00"/>
    <n v="356.5"/>
  </r>
  <r>
    <s v="CUST015"/>
    <s v="David Anderson"/>
    <x v="0"/>
    <x v="3"/>
    <n v="820.19"/>
    <n v="4"/>
    <n v="0.2"/>
    <d v="2024-12-04T00:00:00"/>
    <n v="229.65"/>
  </r>
  <r>
    <s v="CUST015"/>
    <s v="Emma Davis"/>
    <x v="4"/>
    <x v="2"/>
    <n v="511.74"/>
    <n v="8"/>
    <n v="0.05"/>
    <d v="2024-12-05T00:00:00"/>
    <n v="121.54"/>
  </r>
  <r>
    <s v="CUST002"/>
    <s v="Emma Wilson"/>
    <x v="2"/>
    <x v="3"/>
    <n v="806.03"/>
    <n v="19"/>
    <n v="0.05"/>
    <d v="2024-12-12T00:00:00"/>
    <n v="268"/>
  </r>
  <r>
    <s v="CUST001"/>
    <s v="Michael Anderson"/>
    <x v="4"/>
    <x v="3"/>
    <n v="1432.47"/>
    <n v="16"/>
    <n v="0.15"/>
    <d v="2024-12-14T00:00:00"/>
    <n v="426.16"/>
  </r>
  <r>
    <s v="CUST027"/>
    <s v="Linda Wilson"/>
    <x v="4"/>
    <x v="2"/>
    <n v="1488.58"/>
    <n v="10"/>
    <n v="0.15"/>
    <d v="2024-12-14T00:00:00"/>
    <n v="316.32"/>
  </r>
  <r>
    <s v="CUST026"/>
    <s v="Emma Taylor"/>
    <x v="1"/>
    <x v="0"/>
    <n v="1231.26"/>
    <n v="9"/>
    <n v="0"/>
    <d v="2024-12-20T00:00:00"/>
    <n v="492.5"/>
  </r>
  <r>
    <s v="CUST026"/>
    <s v="Sarah Anderson"/>
    <x v="0"/>
    <x v="2"/>
    <n v="1161.67"/>
    <n v="19"/>
    <n v="0.2"/>
    <d v="2024-12-21T00:00:00"/>
    <n v="232.33"/>
  </r>
  <r>
    <s v="CUST022"/>
    <s v="Lisa Thomas"/>
    <x v="4"/>
    <x v="4"/>
    <n v="388.23"/>
    <n v="16"/>
    <n v="0.05"/>
    <d v="2024-12-24T00:00:00"/>
    <n v="165.97"/>
  </r>
  <r>
    <s v="CUST004"/>
    <s v="Mary Davis"/>
    <x v="3"/>
    <x v="1"/>
    <n v="1589.42"/>
    <n v="6"/>
    <n v="0.15"/>
    <d v="2024-12-25T00:00:00"/>
    <n v="675.5"/>
  </r>
  <r>
    <s v="CUST001"/>
    <s v="David Anderson"/>
    <x v="3"/>
    <x v="1"/>
    <n v="336.66"/>
    <n v="13"/>
    <n v="0.2"/>
    <d v="2024-12-25T00:00:00"/>
    <n v="134.66"/>
  </r>
  <r>
    <s v="CUST022"/>
    <s v="James Wilson"/>
    <x v="0"/>
    <x v="0"/>
    <n v="1353.79"/>
    <n v="14"/>
    <n v="0.1"/>
    <d v="2024-12-30T00:00:00"/>
    <n v="487.36"/>
  </r>
  <r>
    <s v="CUST011"/>
    <s v="Linda Moore"/>
    <x v="4"/>
    <x v="1"/>
    <n v="662.61"/>
    <n v="11"/>
    <n v="0.05"/>
    <d v="2025-01-01T00:00:00"/>
    <n v="314.74"/>
  </r>
  <r>
    <s v="CUST028"/>
    <s v="Lisa Davis"/>
    <x v="3"/>
    <x v="4"/>
    <n v="309.42"/>
    <n v="1"/>
    <n v="0.2"/>
    <d v="2025-01-01T00:00:00"/>
    <n v="111.39"/>
  </r>
  <r>
    <s v="CUST011"/>
    <s v="Linda Wilson"/>
    <x v="3"/>
    <x v="0"/>
    <n v="884.63"/>
    <n v="18"/>
    <n v="0.1"/>
    <d v="2025-01-02T00:00:00"/>
    <n v="318.47000000000003"/>
  </r>
  <r>
    <s v="CUST028"/>
    <s v="James Wilson"/>
    <x v="4"/>
    <x v="4"/>
    <n v="745.05"/>
    <n v="10"/>
    <n v="0.1"/>
    <d v="2025-01-03T00:00:00"/>
    <n v="301.75"/>
  </r>
  <r>
    <s v="CUST016"/>
    <s v="James Taylor"/>
    <x v="2"/>
    <x v="1"/>
    <n v="870.23"/>
    <n v="5"/>
    <n v="0.05"/>
    <d v="2025-01-03T00:00:00"/>
    <n v="413.36"/>
  </r>
  <r>
    <s v="CUST010"/>
    <s v="Linda Wilson"/>
    <x v="0"/>
    <x v="3"/>
    <n v="862.19"/>
    <n v="18"/>
    <n v="0.05"/>
    <d v="2025-01-06T00:00:00"/>
    <n v="286.68"/>
  </r>
  <r>
    <s v="CUST013"/>
    <s v="Mary Wilson"/>
    <x v="3"/>
    <x v="1"/>
    <n v="1171.18"/>
    <n v="19"/>
    <n v="0.05"/>
    <d v="2025-01-10T00:00:00"/>
    <n v="556.30999999999995"/>
  </r>
  <r>
    <s v="CUST015"/>
    <s v="Robert Anderson"/>
    <x v="2"/>
    <x v="3"/>
    <n v="1054.56"/>
    <n v="11"/>
    <n v="0.1"/>
    <d v="2025-01-12T00:00:00"/>
    <n v="332.19"/>
  </r>
  <r>
    <s v="CUST015"/>
    <s v="James Wilson"/>
    <x v="3"/>
    <x v="2"/>
    <n v="1681.21"/>
    <n v="5"/>
    <n v="0.2"/>
    <d v="2025-01-13T00:00:00"/>
    <n v="336.24"/>
  </r>
  <r>
    <s v="CUST015"/>
    <s v="David Thomas"/>
    <x v="0"/>
    <x v="1"/>
    <n v="379.77"/>
    <n v="9"/>
    <n v="0.05"/>
    <d v="2025-01-16T00:00:00"/>
    <n v="180.39"/>
  </r>
  <r>
    <s v="CUST008"/>
    <s v="Lisa Thomas"/>
    <x v="4"/>
    <x v="1"/>
    <n v="1076.33"/>
    <n v="2"/>
    <n v="0.1"/>
    <d v="2025-01-17T00:00:00"/>
    <n v="484.35"/>
  </r>
  <r>
    <s v="CUST008"/>
    <s v="Mary Davis"/>
    <x v="4"/>
    <x v="4"/>
    <n v="1250.71"/>
    <n v="7"/>
    <n v="0"/>
    <d v="2025-01-17T00:00:00"/>
    <n v="562.82000000000005"/>
  </r>
  <r>
    <s v="CUST023"/>
    <s v="James Taylor"/>
    <x v="2"/>
    <x v="1"/>
    <n v="1118.3399999999999"/>
    <n v="6"/>
    <n v="0.2"/>
    <d v="2025-01-17T00:00:00"/>
    <n v="447.34"/>
  </r>
  <r>
    <s v="CUST024"/>
    <s v="Linda Taylor"/>
    <x v="3"/>
    <x v="1"/>
    <n v="1622.62"/>
    <n v="12"/>
    <n v="0.2"/>
    <d v="2025-01-20T00:00:00"/>
    <n v="649.04999999999995"/>
  </r>
  <r>
    <s v="CUST018"/>
    <s v="Lisa Davis"/>
    <x v="3"/>
    <x v="0"/>
    <n v="640.64"/>
    <n v="11"/>
    <n v="0.2"/>
    <d v="2025-01-21T00:00:00"/>
    <n v="205"/>
  </r>
  <r>
    <s v="CUST030"/>
    <s v="Sarah Anderson"/>
    <x v="0"/>
    <x v="1"/>
    <n v="585.16"/>
    <n v="17"/>
    <n v="0.1"/>
    <d v="2025-01-27T00:00:00"/>
    <n v="263.32"/>
  </r>
  <r>
    <s v="CUST030"/>
    <s v="Mary Davis"/>
    <x v="1"/>
    <x v="1"/>
    <n v="1109.98"/>
    <n v="5"/>
    <n v="0.2"/>
    <d v="2025-02-02T00:00:00"/>
    <n v="443.99"/>
  </r>
  <r>
    <s v="CUST015"/>
    <s v="Lisa Thomas"/>
    <x v="1"/>
    <x v="0"/>
    <n v="1098.08"/>
    <n v="9"/>
    <n v="0.1"/>
    <d v="2025-02-04T00:00:00"/>
    <n v="395.31"/>
  </r>
  <r>
    <s v="CUST002"/>
    <s v="Lisa Davis"/>
    <x v="0"/>
    <x v="4"/>
    <n v="827.25"/>
    <n v="7"/>
    <n v="0.1"/>
    <d v="2025-02-05T00:00:00"/>
    <n v="335.04"/>
  </r>
  <r>
    <s v="CUST024"/>
    <s v="Linda Wilson"/>
    <x v="4"/>
    <x v="1"/>
    <n v="741.88"/>
    <n v="16"/>
    <n v="0.1"/>
    <d v="2025-02-07T00:00:00"/>
    <n v="333.85"/>
  </r>
  <r>
    <s v="CUST004"/>
    <s v="James Davis"/>
    <x v="1"/>
    <x v="4"/>
    <n v="1311.26"/>
    <n v="6"/>
    <n v="0.1"/>
    <d v="2025-02-10T00:00:00"/>
    <n v="531.05999999999995"/>
  </r>
  <r>
    <s v="CUST004"/>
    <s v="Mary Davis"/>
    <x v="2"/>
    <x v="4"/>
    <n v="573.32000000000005"/>
    <n v="19"/>
    <n v="0.1"/>
    <d v="2025-02-15T00:00:00"/>
    <n v="232.19"/>
  </r>
  <r>
    <s v="CUST028"/>
    <s v="James Wilson"/>
    <x v="0"/>
    <x v="2"/>
    <n v="1115.22"/>
    <n v="14"/>
    <n v="0.2"/>
    <d v="2025-02-17T00:00:00"/>
    <n v="223.04"/>
  </r>
  <r>
    <s v="CUST012"/>
    <s v="Lisa Thomas"/>
    <x v="3"/>
    <x v="1"/>
    <n v="845.84"/>
    <n v="4"/>
    <n v="0"/>
    <d v="2025-02-19T00:00:00"/>
    <n v="422.92"/>
  </r>
  <r>
    <s v="CUST026"/>
    <s v="David Brown"/>
    <x v="0"/>
    <x v="2"/>
    <n v="1029.8"/>
    <n v="3"/>
    <n v="0"/>
    <d v="2025-02-20T00:00:00"/>
    <n v="257.45"/>
  </r>
  <r>
    <s v="CUST009"/>
    <s v="Mary Davis"/>
    <x v="3"/>
    <x v="0"/>
    <n v="1189.83"/>
    <n v="2"/>
    <n v="0.2"/>
    <d v="2025-02-21T00:00:00"/>
    <n v="380.75"/>
  </r>
  <r>
    <s v="CUST003"/>
    <s v="Sarah Anderson"/>
    <x v="2"/>
    <x v="0"/>
    <n v="704.28"/>
    <n v="15"/>
    <n v="0.2"/>
    <d v="2025-02-24T00:00:00"/>
    <n v="225.37"/>
  </r>
  <r>
    <s v="CUST002"/>
    <s v="Mary Jackson"/>
    <x v="4"/>
    <x v="4"/>
    <n v="1618.22"/>
    <n v="12"/>
    <n v="0.2"/>
    <d v="2025-02-24T00:00:00"/>
    <n v="582.55999999999995"/>
  </r>
  <r>
    <s v="CUST013"/>
    <s v="Linda Taylor"/>
    <x v="4"/>
    <x v="0"/>
    <n v="1014.43"/>
    <n v="2"/>
    <n v="0.15"/>
    <d v="2025-02-25T00:00:00"/>
    <n v="344.91"/>
  </r>
  <r>
    <s v="CUST018"/>
    <s v="Mary Davis"/>
    <x v="4"/>
    <x v="1"/>
    <n v="826.97"/>
    <n v="18"/>
    <n v="0.2"/>
    <d v="2025-02-27T00:00:00"/>
    <n v="330.79"/>
  </r>
  <r>
    <s v="CUST017"/>
    <s v="Mary Davis"/>
    <x v="4"/>
    <x v="1"/>
    <n v="1022.23"/>
    <n v="8"/>
    <n v="0.1"/>
    <d v="2025-03-01T00:00:00"/>
    <n v="460"/>
  </r>
  <r>
    <s v="CUST004"/>
    <s v="Linda Wilson"/>
    <x v="1"/>
    <x v="0"/>
    <n v="1099.69"/>
    <n v="6"/>
    <n v="0"/>
    <d v="2025-03-02T00:00:00"/>
    <n v="439.88"/>
  </r>
  <r>
    <s v="CUST028"/>
    <s v="Sarah Davis"/>
    <x v="3"/>
    <x v="0"/>
    <n v="710.52"/>
    <n v="8"/>
    <n v="0.1"/>
    <d v="2025-03-05T00:00:00"/>
    <n v="255.79"/>
  </r>
  <r>
    <s v="CUST028"/>
    <s v="Mary Wilson"/>
    <x v="3"/>
    <x v="0"/>
    <n v="499.18"/>
    <n v="15"/>
    <n v="0.2"/>
    <d v="2025-03-08T00:00:00"/>
    <n v="159.74"/>
  </r>
  <r>
    <s v="CUST014"/>
    <s v="Emma Davis"/>
    <x v="2"/>
    <x v="0"/>
    <n v="1064.19"/>
    <n v="18"/>
    <n v="0.05"/>
    <d v="2025-03-09T00:00:00"/>
    <n v="404.39"/>
  </r>
  <r>
    <s v="CUST003"/>
    <s v="Emma Davis"/>
    <x v="1"/>
    <x v="4"/>
    <n v="438.76"/>
    <n v="18"/>
    <n v="0.05"/>
    <d v="2025-03-10T00:00:00"/>
    <n v="187.57"/>
  </r>
  <r>
    <s v="CUST029"/>
    <s v="David Brown"/>
    <x v="0"/>
    <x v="1"/>
    <n v="864.98"/>
    <n v="2"/>
    <n v="0.05"/>
    <d v="2025-03-11T00:00:00"/>
    <n v="410.87"/>
  </r>
  <r>
    <s v="CUST021"/>
    <s v="David Brown"/>
    <x v="0"/>
    <x v="3"/>
    <n v="984.93"/>
    <n v="14"/>
    <n v="0.2"/>
    <d v="2025-03-17T00:00:00"/>
    <n v="275.77999999999997"/>
  </r>
  <r>
    <s v="CUST007"/>
    <s v="David Brown"/>
    <x v="0"/>
    <x v="1"/>
    <n v="1493.49"/>
    <n v="18"/>
    <n v="0"/>
    <d v="2025-03-18T00:00:00"/>
    <n v="746.74"/>
  </r>
  <r>
    <s v="CUST009"/>
    <s v="Linda Taylor"/>
    <x v="2"/>
    <x v="1"/>
    <n v="689.43"/>
    <n v="9"/>
    <n v="0.1"/>
    <d v="2025-03-20T00:00:00"/>
    <n v="310.24"/>
  </r>
  <r>
    <s v="CUST023"/>
    <s v="Mary Wilson"/>
    <x v="2"/>
    <x v="1"/>
    <n v="682.24"/>
    <n v="1"/>
    <n v="0"/>
    <d v="2025-03-22T00:00:00"/>
    <n v="341.12"/>
  </r>
  <r>
    <s v="CUST029"/>
    <s v="Michael Anderson"/>
    <x v="3"/>
    <x v="2"/>
    <n v="458.54"/>
    <n v="15"/>
    <n v="0.2"/>
    <d v="2025-03-25T00:00:00"/>
    <n v="91.71"/>
  </r>
  <r>
    <s v="CUST009"/>
    <s v="Michael Anderson"/>
    <x v="2"/>
    <x v="3"/>
    <n v="1184.25"/>
    <n v="11"/>
    <n v="0.2"/>
    <d v="2025-03-26T00:00:00"/>
    <n v="331.59"/>
  </r>
  <r>
    <s v="CUST007"/>
    <s v="James Davis"/>
    <x v="2"/>
    <x v="1"/>
    <n v="762.14"/>
    <n v="9"/>
    <n v="0"/>
    <d v="2025-03-27T00:00:00"/>
    <n v="381.07"/>
  </r>
  <r>
    <s v="CUST030"/>
    <s v="Linda Taylor"/>
    <x v="3"/>
    <x v="0"/>
    <n v="750.71"/>
    <n v="10"/>
    <n v="0.15"/>
    <d v="2025-03-27T00:00:00"/>
    <n v="255.24"/>
  </r>
  <r>
    <s v="CUST018"/>
    <s v="David Anderson"/>
    <x v="4"/>
    <x v="1"/>
    <n v="1456.94"/>
    <n v="14"/>
    <n v="0.05"/>
    <d v="2025-03-29T00:00:00"/>
    <n v="692.05"/>
  </r>
  <r>
    <s v="CUST008"/>
    <s v="Emma Wilson"/>
    <x v="1"/>
    <x v="3"/>
    <n v="1093.3800000000001"/>
    <n v="17"/>
    <n v="0.1"/>
    <d v="2025-03-29T00:00:00"/>
    <n v="344.41"/>
  </r>
  <r>
    <s v="CUST014"/>
    <s v="Sarah Anderson"/>
    <x v="0"/>
    <x v="1"/>
    <n v="934.27"/>
    <n v="8"/>
    <n v="0.15"/>
    <d v="2025-03-30T00:00:00"/>
    <n v="397.06"/>
  </r>
  <r>
    <s v="CUST024"/>
    <s v="David Thomas"/>
    <x v="4"/>
    <x v="1"/>
    <n v="1465.35"/>
    <n v="8"/>
    <n v="0.2"/>
    <d v="2025-03-30T00:00:00"/>
    <n v="586.14"/>
  </r>
  <r>
    <s v="CUST028"/>
    <s v="Robert Anderson"/>
    <x v="2"/>
    <x v="4"/>
    <n v="740.8"/>
    <n v="3"/>
    <n v="0"/>
    <d v="2025-04-02T00:00:00"/>
    <n v="333.36"/>
  </r>
  <r>
    <s v="CUST015"/>
    <s v="Sarah Anderson"/>
    <x v="0"/>
    <x v="4"/>
    <n v="545.44000000000005"/>
    <n v="17"/>
    <n v="0"/>
    <d v="2025-04-05T00:00:00"/>
    <n v="245.45"/>
  </r>
  <r>
    <s v="CUST010"/>
    <s v="David Thomas"/>
    <x v="1"/>
    <x v="0"/>
    <n v="997.61"/>
    <n v="8"/>
    <n v="0.05"/>
    <d v="2025-04-05T00:00:00"/>
    <n v="379.09"/>
  </r>
  <r>
    <s v="CUST016"/>
    <s v="David Thomas"/>
    <x v="2"/>
    <x v="1"/>
    <n v="928.32"/>
    <n v="2"/>
    <n v="0.05"/>
    <d v="2025-04-07T00:00:00"/>
    <n v="440.9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n v="331.55"/>
    <x v="0"/>
  </r>
  <r>
    <n v="440.51"/>
    <x v="0"/>
  </r>
  <r>
    <n v="285.33999999999997"/>
    <x v="0"/>
  </r>
  <r>
    <n v="161.69999999999999"/>
    <x v="0"/>
  </r>
  <r>
    <n v="271.04000000000002"/>
    <x v="0"/>
  </r>
  <r>
    <n v="304.18"/>
    <x v="0"/>
  </r>
  <r>
    <n v="312.91000000000003"/>
    <x v="0"/>
  </r>
  <r>
    <n v="300.85000000000002"/>
    <x v="0"/>
  </r>
  <r>
    <n v="190.59"/>
    <x v="0"/>
  </r>
  <r>
    <n v="350.22"/>
    <x v="0"/>
  </r>
  <r>
    <n v="672.38"/>
    <x v="0"/>
  </r>
  <r>
    <n v="456.66"/>
    <x v="0"/>
  </r>
  <r>
    <n v="452.8"/>
    <x v="0"/>
  </r>
  <r>
    <n v="273.41000000000003"/>
    <x v="0"/>
  </r>
  <r>
    <n v="155.19999999999999"/>
    <x v="0"/>
  </r>
  <r>
    <n v="300.58999999999997"/>
    <x v="0"/>
  </r>
  <r>
    <n v="298.38"/>
    <x v="0"/>
  </r>
  <r>
    <n v="203.74"/>
    <x v="0"/>
  </r>
  <r>
    <n v="481.96"/>
    <x v="0"/>
  </r>
  <r>
    <n v="161.26"/>
    <x v="1"/>
  </r>
  <r>
    <n v="476.65"/>
    <x v="1"/>
  </r>
  <r>
    <n v="82.57"/>
    <x v="1"/>
  </r>
  <r>
    <n v="297.27"/>
    <x v="1"/>
  </r>
  <r>
    <n v="176.59"/>
    <x v="1"/>
  </r>
  <r>
    <n v="374.75"/>
    <x v="1"/>
  </r>
  <r>
    <n v="293.27999999999997"/>
    <x v="1"/>
  </r>
  <r>
    <n v="236.44"/>
    <x v="1"/>
  </r>
  <r>
    <n v="356.85"/>
    <x v="1"/>
  </r>
  <r>
    <n v="398.25"/>
    <x v="1"/>
  </r>
  <r>
    <n v="160.24"/>
    <x v="1"/>
  </r>
  <r>
    <n v="326.41000000000003"/>
    <x v="1"/>
  </r>
  <r>
    <n v="388.82"/>
    <x v="1"/>
  </r>
  <r>
    <n v="253.98"/>
    <x v="1"/>
  </r>
  <r>
    <n v="217.78"/>
    <x v="1"/>
  </r>
  <r>
    <n v="513.38"/>
    <x v="1"/>
  </r>
  <r>
    <n v="151.16"/>
    <x v="1"/>
  </r>
  <r>
    <n v="359.49"/>
    <x v="1"/>
  </r>
  <r>
    <n v="468.84"/>
    <x v="1"/>
  </r>
  <r>
    <n v="229.99"/>
    <x v="1"/>
  </r>
  <r>
    <n v="197.35"/>
    <x v="1"/>
  </r>
  <r>
    <n v="414.44"/>
    <x v="2"/>
  </r>
  <r>
    <n v="369.35"/>
    <x v="2"/>
  </r>
  <r>
    <n v="212.83"/>
    <x v="2"/>
  </r>
  <r>
    <n v="302.70999999999998"/>
    <x v="2"/>
  </r>
  <r>
    <n v="365.11"/>
    <x v="2"/>
  </r>
  <r>
    <n v="214.18"/>
    <x v="2"/>
  </r>
  <r>
    <n v="468.72"/>
    <x v="2"/>
  </r>
  <r>
    <n v="450.71"/>
    <x v="2"/>
  </r>
  <r>
    <n v="332.32"/>
    <x v="2"/>
  </r>
  <r>
    <n v="174.48"/>
    <x v="2"/>
  </r>
  <r>
    <n v="242.6"/>
    <x v="2"/>
  </r>
  <r>
    <n v="551.98"/>
    <x v="2"/>
  </r>
  <r>
    <n v="380.43"/>
    <x v="2"/>
  </r>
  <r>
    <n v="339.44"/>
    <x v="2"/>
  </r>
  <r>
    <n v="173.99"/>
    <x v="2"/>
  </r>
  <r>
    <n v="257.33"/>
    <x v="2"/>
  </r>
  <r>
    <n v="389.3"/>
    <x v="2"/>
  </r>
  <r>
    <n v="148.32"/>
    <x v="2"/>
  </r>
  <r>
    <n v="449.58"/>
    <x v="2"/>
  </r>
  <r>
    <n v="680.18"/>
    <x v="2"/>
  </r>
  <r>
    <n v="497.99"/>
    <x v="3"/>
  </r>
  <r>
    <n v="220.05"/>
    <x v="3"/>
  </r>
  <r>
    <n v="294.12"/>
    <x v="3"/>
  </r>
  <r>
    <n v="201.11"/>
    <x v="3"/>
  </r>
  <r>
    <n v="261.27"/>
    <x v="3"/>
  </r>
  <r>
    <n v="307.82"/>
    <x v="3"/>
  </r>
  <r>
    <n v="333.05"/>
    <x v="3"/>
  </r>
  <r>
    <n v="455.97"/>
    <x v="3"/>
  </r>
  <r>
    <n v="242.31"/>
    <x v="3"/>
  </r>
  <r>
    <n v="344.06"/>
    <x v="3"/>
  </r>
  <r>
    <n v="144.56"/>
    <x v="3"/>
  </r>
  <r>
    <n v="441.54"/>
    <x v="3"/>
  </r>
  <r>
    <n v="114.7"/>
    <x v="4"/>
  </r>
  <r>
    <n v="257.42"/>
    <x v="4"/>
  </r>
  <r>
    <n v="305.32"/>
    <x v="4"/>
  </r>
  <r>
    <n v="258.24"/>
    <x v="4"/>
  </r>
  <r>
    <n v="441.47"/>
    <x v="4"/>
  </r>
  <r>
    <n v="172.26"/>
    <x v="4"/>
  </r>
  <r>
    <n v="500.1"/>
    <x v="4"/>
  </r>
  <r>
    <n v="581.16"/>
    <x v="4"/>
  </r>
  <r>
    <n v="271.88"/>
    <x v="4"/>
  </r>
  <r>
    <n v="400.29"/>
    <x v="4"/>
  </r>
  <r>
    <n v="177.77"/>
    <x v="5"/>
  </r>
  <r>
    <n v="406.86"/>
    <x v="5"/>
  </r>
  <r>
    <n v="526"/>
    <x v="5"/>
  </r>
  <r>
    <n v="333.97"/>
    <x v="5"/>
  </r>
  <r>
    <n v="305.8"/>
    <x v="5"/>
  </r>
  <r>
    <n v="649.79"/>
    <x v="5"/>
  </r>
  <r>
    <n v="441.53"/>
    <x v="5"/>
  </r>
  <r>
    <n v="480.51"/>
    <x v="5"/>
  </r>
  <r>
    <n v="346.99"/>
    <x v="5"/>
  </r>
  <r>
    <n v="229.23"/>
    <x v="5"/>
  </r>
  <r>
    <n v="334.84"/>
    <x v="5"/>
  </r>
  <r>
    <n v="231.79"/>
    <x v="5"/>
  </r>
  <r>
    <n v="328.54"/>
    <x v="5"/>
  </r>
  <r>
    <n v="366.99"/>
    <x v="5"/>
  </r>
  <r>
    <n v="348.96"/>
    <x v="5"/>
  </r>
  <r>
    <n v="542.62"/>
    <x v="5"/>
  </r>
  <r>
    <n v="297.69"/>
    <x v="5"/>
  </r>
  <r>
    <n v="451.1"/>
    <x v="5"/>
  </r>
  <r>
    <n v="210.95"/>
    <x v="5"/>
  </r>
  <r>
    <n v="445.59"/>
    <x v="5"/>
  </r>
  <r>
    <n v="202.82"/>
    <x v="6"/>
  </r>
  <r>
    <n v="231.32"/>
    <x v="6"/>
  </r>
  <r>
    <n v="450.29"/>
    <x v="6"/>
  </r>
  <r>
    <n v="307.72000000000003"/>
    <x v="6"/>
  </r>
  <r>
    <n v="367.59"/>
    <x v="6"/>
  </r>
  <r>
    <n v="769.46"/>
    <x v="6"/>
  </r>
  <r>
    <n v="327.92"/>
    <x v="6"/>
  </r>
  <r>
    <n v="553.29999999999995"/>
    <x v="6"/>
  </r>
  <r>
    <n v="352.86"/>
    <x v="6"/>
  </r>
  <r>
    <n v="313.91000000000003"/>
    <x v="6"/>
  </r>
  <r>
    <n v="355.1"/>
    <x v="6"/>
  </r>
  <r>
    <n v="192.76"/>
    <x v="6"/>
  </r>
  <r>
    <n v="264.44"/>
    <x v="6"/>
  </r>
  <r>
    <n v="172.21"/>
    <x v="6"/>
  </r>
  <r>
    <n v="474.66"/>
    <x v="7"/>
  </r>
  <r>
    <n v="433.58"/>
    <x v="7"/>
  </r>
  <r>
    <n v="343.6"/>
    <x v="7"/>
  </r>
  <r>
    <n v="318.3"/>
    <x v="7"/>
  </r>
  <r>
    <n v="358.41"/>
    <x v="7"/>
  </r>
  <r>
    <n v="581.5"/>
    <x v="7"/>
  </r>
  <r>
    <n v="410.9"/>
    <x v="7"/>
  </r>
  <r>
    <n v="179.51"/>
    <x v="7"/>
  </r>
  <r>
    <n v="511.14"/>
    <x v="7"/>
  </r>
  <r>
    <n v="150.18"/>
    <x v="7"/>
  </r>
  <r>
    <n v="352.65"/>
    <x v="7"/>
  </r>
  <r>
    <n v="472.62"/>
    <x v="7"/>
  </r>
  <r>
    <n v="195.33"/>
    <x v="7"/>
  </r>
  <r>
    <n v="64.63"/>
    <x v="7"/>
  </r>
  <r>
    <n v="461.12"/>
    <x v="7"/>
  </r>
  <r>
    <n v="437.11"/>
    <x v="7"/>
  </r>
  <r>
    <n v="268.97000000000003"/>
    <x v="7"/>
  </r>
  <r>
    <n v="265.26"/>
    <x v="7"/>
  </r>
  <r>
    <n v="178.91"/>
    <x v="7"/>
  </r>
  <r>
    <n v="356.5"/>
    <x v="7"/>
  </r>
  <r>
    <n v="229.65"/>
    <x v="8"/>
  </r>
  <r>
    <n v="121.54"/>
    <x v="8"/>
  </r>
  <r>
    <n v="268"/>
    <x v="8"/>
  </r>
  <r>
    <n v="426.16"/>
    <x v="8"/>
  </r>
  <r>
    <n v="316.32"/>
    <x v="8"/>
  </r>
  <r>
    <n v="492.5"/>
    <x v="8"/>
  </r>
  <r>
    <n v="232.33"/>
    <x v="8"/>
  </r>
  <r>
    <n v="165.97"/>
    <x v="8"/>
  </r>
  <r>
    <n v="675.5"/>
    <x v="8"/>
  </r>
  <r>
    <n v="134.66"/>
    <x v="8"/>
  </r>
  <r>
    <n v="487.36"/>
    <x v="8"/>
  </r>
  <r>
    <n v="314.74"/>
    <x v="9"/>
  </r>
  <r>
    <n v="111.39"/>
    <x v="9"/>
  </r>
  <r>
    <n v="318.47000000000003"/>
    <x v="9"/>
  </r>
  <r>
    <n v="301.75"/>
    <x v="9"/>
  </r>
  <r>
    <n v="413.36"/>
    <x v="9"/>
  </r>
  <r>
    <n v="286.68"/>
    <x v="9"/>
  </r>
  <r>
    <n v="556.30999999999995"/>
    <x v="9"/>
  </r>
  <r>
    <n v="332.19"/>
    <x v="9"/>
  </r>
  <r>
    <n v="336.24"/>
    <x v="9"/>
  </r>
  <r>
    <n v="180.39"/>
    <x v="9"/>
  </r>
  <r>
    <n v="484.35"/>
    <x v="9"/>
  </r>
  <r>
    <n v="562.82000000000005"/>
    <x v="9"/>
  </r>
  <r>
    <n v="447.34"/>
    <x v="9"/>
  </r>
  <r>
    <n v="649.04999999999995"/>
    <x v="9"/>
  </r>
  <r>
    <n v="205"/>
    <x v="9"/>
  </r>
  <r>
    <n v="263.32"/>
    <x v="9"/>
  </r>
  <r>
    <n v="443.99"/>
    <x v="10"/>
  </r>
  <r>
    <n v="395.31"/>
    <x v="10"/>
  </r>
  <r>
    <n v="335.04"/>
    <x v="10"/>
  </r>
  <r>
    <n v="333.85"/>
    <x v="10"/>
  </r>
  <r>
    <n v="531.05999999999995"/>
    <x v="10"/>
  </r>
  <r>
    <n v="232.19"/>
    <x v="10"/>
  </r>
  <r>
    <n v="223.04"/>
    <x v="10"/>
  </r>
  <r>
    <n v="422.92"/>
    <x v="10"/>
  </r>
  <r>
    <n v="257.45"/>
    <x v="10"/>
  </r>
  <r>
    <n v="380.75"/>
    <x v="10"/>
  </r>
  <r>
    <n v="225.37"/>
    <x v="10"/>
  </r>
  <r>
    <n v="582.55999999999995"/>
    <x v="10"/>
  </r>
  <r>
    <n v="344.91"/>
    <x v="10"/>
  </r>
  <r>
    <n v="330.79"/>
    <x v="10"/>
  </r>
  <r>
    <n v="460"/>
    <x v="11"/>
  </r>
  <r>
    <n v="439.88"/>
    <x v="11"/>
  </r>
  <r>
    <n v="255.79"/>
    <x v="11"/>
  </r>
  <r>
    <n v="159.74"/>
    <x v="11"/>
  </r>
  <r>
    <n v="404.39"/>
    <x v="11"/>
  </r>
  <r>
    <n v="187.57"/>
    <x v="11"/>
  </r>
  <r>
    <n v="410.87"/>
    <x v="11"/>
  </r>
  <r>
    <n v="275.77999999999997"/>
    <x v="11"/>
  </r>
  <r>
    <n v="746.74"/>
    <x v="11"/>
  </r>
  <r>
    <n v="310.24"/>
    <x v="11"/>
  </r>
  <r>
    <n v="341.12"/>
    <x v="11"/>
  </r>
  <r>
    <n v="91.71"/>
    <x v="11"/>
  </r>
  <r>
    <n v="331.59"/>
    <x v="11"/>
  </r>
  <r>
    <n v="381.07"/>
    <x v="11"/>
  </r>
  <r>
    <n v="255.24"/>
    <x v="11"/>
  </r>
  <r>
    <n v="692.05"/>
    <x v="11"/>
  </r>
  <r>
    <n v="344.41"/>
    <x v="11"/>
  </r>
  <r>
    <n v="397.06"/>
    <x v="11"/>
  </r>
  <r>
    <n v="586.14"/>
    <x v="11"/>
  </r>
  <r>
    <n v="333.36"/>
    <x v="0"/>
  </r>
  <r>
    <n v="245.45"/>
    <x v="0"/>
  </r>
  <r>
    <n v="379.09"/>
    <x v="0"/>
  </r>
  <r>
    <n v="440.9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87AC32-C8B4-4909-856E-C8D5DE1263AB}"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12:E25" firstHeaderRow="1" firstDataRow="1" firstDataCol="1"/>
  <pivotFields count="2">
    <pivotField dataField="1" showAll="0"/>
    <pivotField axis="axisRow" showAll="0">
      <items count="13">
        <item x="9"/>
        <item x="10"/>
        <item x="11"/>
        <item x="0"/>
        <item x="1"/>
        <item x="2"/>
        <item x="3"/>
        <item x="4"/>
        <item x="5"/>
        <item x="6"/>
        <item x="7"/>
        <item x="8"/>
        <item t="default"/>
      </items>
    </pivotField>
  </pivotFields>
  <rowFields count="1">
    <field x="1"/>
  </rowFields>
  <rowItems count="13">
    <i>
      <x/>
    </i>
    <i>
      <x v="1"/>
    </i>
    <i>
      <x v="2"/>
    </i>
    <i>
      <x v="3"/>
    </i>
    <i>
      <x v="4"/>
    </i>
    <i>
      <x v="5"/>
    </i>
    <i>
      <x v="6"/>
    </i>
    <i>
      <x v="7"/>
    </i>
    <i>
      <x v="8"/>
    </i>
    <i>
      <x v="9"/>
    </i>
    <i>
      <x v="10"/>
    </i>
    <i>
      <x v="11"/>
    </i>
    <i t="grand">
      <x/>
    </i>
  </rowItems>
  <colItems count="1">
    <i/>
  </colItems>
  <dataFields count="1">
    <dataField name="Sum of Profit" fld="0" baseField="0" baseItem="0"/>
  </dataField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C84F05-9519-4578-B62A-51F1BBC61BE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G10" firstHeaderRow="1" firstDataRow="2" firstDataCol="1"/>
  <pivotFields count="9">
    <pivotField showAll="0"/>
    <pivotField showAll="0"/>
    <pivotField axis="axisCol" showAll="0">
      <items count="6">
        <item x="4"/>
        <item x="1"/>
        <item x="3"/>
        <item x="2"/>
        <item x="0"/>
        <item t="default"/>
      </items>
    </pivotField>
    <pivotField axis="axisRow" showAll="0">
      <items count="6">
        <item x="0"/>
        <item x="1"/>
        <item x="2"/>
        <item x="3"/>
        <item x="4"/>
        <item t="default"/>
      </items>
    </pivotField>
    <pivotField dataField="1" showAll="0"/>
    <pivotField showAll="0"/>
    <pivotField showAll="0"/>
    <pivotField numFmtId="14" showAll="0"/>
    <pivotField showAll="0"/>
  </pivotFields>
  <rowFields count="1">
    <field x="3"/>
  </rowFields>
  <rowItems count="6">
    <i>
      <x/>
    </i>
    <i>
      <x v="1"/>
    </i>
    <i>
      <x v="2"/>
    </i>
    <i>
      <x v="3"/>
    </i>
    <i>
      <x v="4"/>
    </i>
    <i t="grand">
      <x/>
    </i>
  </rowItems>
  <colFields count="1">
    <field x="2"/>
  </colFields>
  <colItems count="6">
    <i>
      <x/>
    </i>
    <i>
      <x v="1"/>
    </i>
    <i>
      <x v="2"/>
    </i>
    <i>
      <x v="3"/>
    </i>
    <i>
      <x v="4"/>
    </i>
    <i t="grand">
      <x/>
    </i>
  </colItems>
  <dataFields count="1">
    <dataField name="Sum of Sales" fld="4" baseField="0" baseItem="0"/>
  </dataFields>
  <chartFormats count="30">
    <chartFormat chart="8" format="60" series="1">
      <pivotArea type="data" outline="0" fieldPosition="0">
        <references count="2">
          <reference field="4294967294" count="1" selected="0">
            <x v="0"/>
          </reference>
          <reference field="2" count="1" selected="0">
            <x v="0"/>
          </reference>
        </references>
      </pivotArea>
    </chartFormat>
    <chartFormat chart="8" format="61">
      <pivotArea type="data" outline="0" fieldPosition="0">
        <references count="3">
          <reference field="4294967294" count="1" selected="0">
            <x v="0"/>
          </reference>
          <reference field="2" count="1" selected="0">
            <x v="0"/>
          </reference>
          <reference field="3" count="1" selected="0">
            <x v="0"/>
          </reference>
        </references>
      </pivotArea>
    </chartFormat>
    <chartFormat chart="8" format="62">
      <pivotArea type="data" outline="0" fieldPosition="0">
        <references count="3">
          <reference field="4294967294" count="1" selected="0">
            <x v="0"/>
          </reference>
          <reference field="2" count="1" selected="0">
            <x v="0"/>
          </reference>
          <reference field="3" count="1" selected="0">
            <x v="1"/>
          </reference>
        </references>
      </pivotArea>
    </chartFormat>
    <chartFormat chart="8" format="63">
      <pivotArea type="data" outline="0" fieldPosition="0">
        <references count="3">
          <reference field="4294967294" count="1" selected="0">
            <x v="0"/>
          </reference>
          <reference field="2" count="1" selected="0">
            <x v="0"/>
          </reference>
          <reference field="3" count="1" selected="0">
            <x v="2"/>
          </reference>
        </references>
      </pivotArea>
    </chartFormat>
    <chartFormat chart="8" format="64">
      <pivotArea type="data" outline="0" fieldPosition="0">
        <references count="3">
          <reference field="4294967294" count="1" selected="0">
            <x v="0"/>
          </reference>
          <reference field="2" count="1" selected="0">
            <x v="0"/>
          </reference>
          <reference field="3" count="1" selected="0">
            <x v="3"/>
          </reference>
        </references>
      </pivotArea>
    </chartFormat>
    <chartFormat chart="8" format="65">
      <pivotArea type="data" outline="0" fieldPosition="0">
        <references count="3">
          <reference field="4294967294" count="1" selected="0">
            <x v="0"/>
          </reference>
          <reference field="2" count="1" selected="0">
            <x v="0"/>
          </reference>
          <reference field="3" count="1" selected="0">
            <x v="4"/>
          </reference>
        </references>
      </pivotArea>
    </chartFormat>
    <chartFormat chart="8" format="66" series="1">
      <pivotArea type="data" outline="0" fieldPosition="0">
        <references count="2">
          <reference field="4294967294" count="1" selected="0">
            <x v="0"/>
          </reference>
          <reference field="2" count="1" selected="0">
            <x v="1"/>
          </reference>
        </references>
      </pivotArea>
    </chartFormat>
    <chartFormat chart="8" format="67">
      <pivotArea type="data" outline="0" fieldPosition="0">
        <references count="3">
          <reference field="4294967294" count="1" selected="0">
            <x v="0"/>
          </reference>
          <reference field="2" count="1" selected="0">
            <x v="1"/>
          </reference>
          <reference field="3" count="1" selected="0">
            <x v="0"/>
          </reference>
        </references>
      </pivotArea>
    </chartFormat>
    <chartFormat chart="8" format="68">
      <pivotArea type="data" outline="0" fieldPosition="0">
        <references count="3">
          <reference field="4294967294" count="1" selected="0">
            <x v="0"/>
          </reference>
          <reference field="2" count="1" selected="0">
            <x v="1"/>
          </reference>
          <reference field="3" count="1" selected="0">
            <x v="1"/>
          </reference>
        </references>
      </pivotArea>
    </chartFormat>
    <chartFormat chart="8" format="69">
      <pivotArea type="data" outline="0" fieldPosition="0">
        <references count="3">
          <reference field="4294967294" count="1" selected="0">
            <x v="0"/>
          </reference>
          <reference field="2" count="1" selected="0">
            <x v="1"/>
          </reference>
          <reference field="3" count="1" selected="0">
            <x v="2"/>
          </reference>
        </references>
      </pivotArea>
    </chartFormat>
    <chartFormat chart="8" format="70">
      <pivotArea type="data" outline="0" fieldPosition="0">
        <references count="3">
          <reference field="4294967294" count="1" selected="0">
            <x v="0"/>
          </reference>
          <reference field="2" count="1" selected="0">
            <x v="1"/>
          </reference>
          <reference field="3" count="1" selected="0">
            <x v="3"/>
          </reference>
        </references>
      </pivotArea>
    </chartFormat>
    <chartFormat chart="8" format="71">
      <pivotArea type="data" outline="0" fieldPosition="0">
        <references count="3">
          <reference field="4294967294" count="1" selected="0">
            <x v="0"/>
          </reference>
          <reference field="2" count="1" selected="0">
            <x v="1"/>
          </reference>
          <reference field="3" count="1" selected="0">
            <x v="4"/>
          </reference>
        </references>
      </pivotArea>
    </chartFormat>
    <chartFormat chart="8" format="72" series="1">
      <pivotArea type="data" outline="0" fieldPosition="0">
        <references count="2">
          <reference field="4294967294" count="1" selected="0">
            <x v="0"/>
          </reference>
          <reference field="2" count="1" selected="0">
            <x v="2"/>
          </reference>
        </references>
      </pivotArea>
    </chartFormat>
    <chartFormat chart="8" format="73">
      <pivotArea type="data" outline="0" fieldPosition="0">
        <references count="3">
          <reference field="4294967294" count="1" selected="0">
            <x v="0"/>
          </reference>
          <reference field="2" count="1" selected="0">
            <x v="2"/>
          </reference>
          <reference field="3" count="1" selected="0">
            <x v="0"/>
          </reference>
        </references>
      </pivotArea>
    </chartFormat>
    <chartFormat chart="8" format="74">
      <pivotArea type="data" outline="0" fieldPosition="0">
        <references count="3">
          <reference field="4294967294" count="1" selected="0">
            <x v="0"/>
          </reference>
          <reference field="2" count="1" selected="0">
            <x v="2"/>
          </reference>
          <reference field="3" count="1" selected="0">
            <x v="1"/>
          </reference>
        </references>
      </pivotArea>
    </chartFormat>
    <chartFormat chart="8" format="75">
      <pivotArea type="data" outline="0" fieldPosition="0">
        <references count="3">
          <reference field="4294967294" count="1" selected="0">
            <x v="0"/>
          </reference>
          <reference field="2" count="1" selected="0">
            <x v="2"/>
          </reference>
          <reference field="3" count="1" selected="0">
            <x v="2"/>
          </reference>
        </references>
      </pivotArea>
    </chartFormat>
    <chartFormat chart="8" format="76">
      <pivotArea type="data" outline="0" fieldPosition="0">
        <references count="3">
          <reference field="4294967294" count="1" selected="0">
            <x v="0"/>
          </reference>
          <reference field="2" count="1" selected="0">
            <x v="2"/>
          </reference>
          <reference field="3" count="1" selected="0">
            <x v="3"/>
          </reference>
        </references>
      </pivotArea>
    </chartFormat>
    <chartFormat chart="8" format="77">
      <pivotArea type="data" outline="0" fieldPosition="0">
        <references count="3">
          <reference field="4294967294" count="1" selected="0">
            <x v="0"/>
          </reference>
          <reference field="2" count="1" selected="0">
            <x v="2"/>
          </reference>
          <reference field="3" count="1" selected="0">
            <x v="4"/>
          </reference>
        </references>
      </pivotArea>
    </chartFormat>
    <chartFormat chart="8" format="78" series="1">
      <pivotArea type="data" outline="0" fieldPosition="0">
        <references count="2">
          <reference field="4294967294" count="1" selected="0">
            <x v="0"/>
          </reference>
          <reference field="2" count="1" selected="0">
            <x v="3"/>
          </reference>
        </references>
      </pivotArea>
    </chartFormat>
    <chartFormat chart="8" format="79">
      <pivotArea type="data" outline="0" fieldPosition="0">
        <references count="3">
          <reference field="4294967294" count="1" selected="0">
            <x v="0"/>
          </reference>
          <reference field="2" count="1" selected="0">
            <x v="3"/>
          </reference>
          <reference field="3" count="1" selected="0">
            <x v="0"/>
          </reference>
        </references>
      </pivotArea>
    </chartFormat>
    <chartFormat chart="8" format="80">
      <pivotArea type="data" outline="0" fieldPosition="0">
        <references count="3">
          <reference field="4294967294" count="1" selected="0">
            <x v="0"/>
          </reference>
          <reference field="2" count="1" selected="0">
            <x v="3"/>
          </reference>
          <reference field="3" count="1" selected="0">
            <x v="1"/>
          </reference>
        </references>
      </pivotArea>
    </chartFormat>
    <chartFormat chart="8" format="81">
      <pivotArea type="data" outline="0" fieldPosition="0">
        <references count="3">
          <reference field="4294967294" count="1" selected="0">
            <x v="0"/>
          </reference>
          <reference field="2" count="1" selected="0">
            <x v="3"/>
          </reference>
          <reference field="3" count="1" selected="0">
            <x v="2"/>
          </reference>
        </references>
      </pivotArea>
    </chartFormat>
    <chartFormat chart="8" format="82">
      <pivotArea type="data" outline="0" fieldPosition="0">
        <references count="3">
          <reference field="4294967294" count="1" selected="0">
            <x v="0"/>
          </reference>
          <reference field="2" count="1" selected="0">
            <x v="3"/>
          </reference>
          <reference field="3" count="1" selected="0">
            <x v="3"/>
          </reference>
        </references>
      </pivotArea>
    </chartFormat>
    <chartFormat chart="8" format="83">
      <pivotArea type="data" outline="0" fieldPosition="0">
        <references count="3">
          <reference field="4294967294" count="1" selected="0">
            <x v="0"/>
          </reference>
          <reference field="2" count="1" selected="0">
            <x v="3"/>
          </reference>
          <reference field="3" count="1" selected="0">
            <x v="4"/>
          </reference>
        </references>
      </pivotArea>
    </chartFormat>
    <chartFormat chart="8" format="84" series="1">
      <pivotArea type="data" outline="0" fieldPosition="0">
        <references count="2">
          <reference field="4294967294" count="1" selected="0">
            <x v="0"/>
          </reference>
          <reference field="2" count="1" selected="0">
            <x v="4"/>
          </reference>
        </references>
      </pivotArea>
    </chartFormat>
    <chartFormat chart="8" format="85">
      <pivotArea type="data" outline="0" fieldPosition="0">
        <references count="3">
          <reference field="4294967294" count="1" selected="0">
            <x v="0"/>
          </reference>
          <reference field="2" count="1" selected="0">
            <x v="4"/>
          </reference>
          <reference field="3" count="1" selected="0">
            <x v="0"/>
          </reference>
        </references>
      </pivotArea>
    </chartFormat>
    <chartFormat chart="8" format="86">
      <pivotArea type="data" outline="0" fieldPosition="0">
        <references count="3">
          <reference field="4294967294" count="1" selected="0">
            <x v="0"/>
          </reference>
          <reference field="2" count="1" selected="0">
            <x v="4"/>
          </reference>
          <reference field="3" count="1" selected="0">
            <x v="1"/>
          </reference>
        </references>
      </pivotArea>
    </chartFormat>
    <chartFormat chart="8" format="87">
      <pivotArea type="data" outline="0" fieldPosition="0">
        <references count="3">
          <reference field="4294967294" count="1" selected="0">
            <x v="0"/>
          </reference>
          <reference field="2" count="1" selected="0">
            <x v="4"/>
          </reference>
          <reference field="3" count="1" selected="0">
            <x v="2"/>
          </reference>
        </references>
      </pivotArea>
    </chartFormat>
    <chartFormat chart="8" format="88">
      <pivotArea type="data" outline="0" fieldPosition="0">
        <references count="3">
          <reference field="4294967294" count="1" selected="0">
            <x v="0"/>
          </reference>
          <reference field="2" count="1" selected="0">
            <x v="4"/>
          </reference>
          <reference field="3" count="1" selected="0">
            <x v="3"/>
          </reference>
        </references>
      </pivotArea>
    </chartFormat>
    <chartFormat chart="8" format="89">
      <pivotArea type="data" outline="0" fieldPosition="0">
        <references count="3">
          <reference field="4294967294" count="1" selected="0">
            <x v="0"/>
          </reference>
          <reference field="2" count="1" selected="0">
            <x v="4"/>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7161F7-B1D9-4DE3-9168-D2D024F1F93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4:B20" firstHeaderRow="1" firstDataRow="1" firstDataCol="1" rowPageCount="1" colPageCount="1"/>
  <pivotFields count="9">
    <pivotField showAll="0"/>
    <pivotField showAll="0"/>
    <pivotField axis="axisPage" showAll="0">
      <items count="6">
        <item x="4"/>
        <item x="1"/>
        <item x="3"/>
        <item x="2"/>
        <item x="0"/>
        <item t="default"/>
      </items>
    </pivotField>
    <pivotField axis="axisRow" showAll="0">
      <items count="6">
        <item x="0"/>
        <item x="1"/>
        <item x="2"/>
        <item x="3"/>
        <item x="4"/>
        <item t="default"/>
      </items>
    </pivotField>
    <pivotField dataField="1" showAll="0"/>
    <pivotField showAll="0"/>
    <pivotField showAll="0"/>
    <pivotField numFmtId="14" showAll="0"/>
    <pivotField showAll="0"/>
  </pivotFields>
  <rowFields count="1">
    <field x="3"/>
  </rowFields>
  <rowItems count="6">
    <i>
      <x/>
    </i>
    <i>
      <x v="1"/>
    </i>
    <i>
      <x v="2"/>
    </i>
    <i>
      <x v="3"/>
    </i>
    <i>
      <x v="4"/>
    </i>
    <i t="grand">
      <x/>
    </i>
  </rowItems>
  <colItems count="1">
    <i/>
  </colItems>
  <pageFields count="1">
    <pageField fld="2" hier="-1"/>
  </pageFields>
  <dataFields count="1">
    <dataField name="Sum of Sales" fld="4"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638070C-5C5B-44A7-9E56-74FE7FE641B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G12" firstHeaderRow="1" firstDataRow="2" firstDataCol="1"/>
  <pivotFields count="9">
    <pivotField showAll="0"/>
    <pivotField showAll="0"/>
    <pivotField axis="axisCol" showAll="0">
      <items count="6">
        <item x="4"/>
        <item x="1"/>
        <item x="3"/>
        <item x="2"/>
        <item x="0"/>
        <item t="default"/>
      </items>
    </pivotField>
    <pivotField axis="axisRow" showAll="0">
      <items count="6">
        <item x="0"/>
        <item x="1"/>
        <item x="2"/>
        <item x="3"/>
        <item x="4"/>
        <item t="default"/>
      </items>
    </pivotField>
    <pivotField dataField="1" showAll="0"/>
    <pivotField showAll="0"/>
    <pivotField showAll="0"/>
    <pivotField numFmtId="14" showAll="0"/>
    <pivotField showAll="0"/>
  </pivotFields>
  <rowFields count="1">
    <field x="3"/>
  </rowFields>
  <rowItems count="6">
    <i>
      <x/>
    </i>
    <i>
      <x v="1"/>
    </i>
    <i>
      <x v="2"/>
    </i>
    <i>
      <x v="3"/>
    </i>
    <i>
      <x v="4"/>
    </i>
    <i t="grand">
      <x/>
    </i>
  </rowItems>
  <colFields count="1">
    <field x="2"/>
  </colFields>
  <colItems count="6">
    <i>
      <x/>
    </i>
    <i>
      <x v="1"/>
    </i>
    <i>
      <x v="2"/>
    </i>
    <i>
      <x v="3"/>
    </i>
    <i>
      <x v="4"/>
    </i>
    <i t="grand">
      <x/>
    </i>
  </colItems>
  <dataFields count="1">
    <dataField name="Sum of Sales" fld="4" baseField="0" baseItem="0"/>
  </dataFields>
  <chartFormats count="30">
    <chartFormat chart="5" format="0" series="1">
      <pivotArea type="data" outline="0" fieldPosition="0">
        <references count="2">
          <reference field="4294967294" count="1" selected="0">
            <x v="0"/>
          </reference>
          <reference field="2" count="1" selected="0">
            <x v="0"/>
          </reference>
        </references>
      </pivotArea>
    </chartFormat>
    <chartFormat chart="5" format="1" series="1">
      <pivotArea type="data" outline="0" fieldPosition="0">
        <references count="2">
          <reference field="4294967294" count="1" selected="0">
            <x v="0"/>
          </reference>
          <reference field="2" count="1" selected="0">
            <x v="1"/>
          </reference>
        </references>
      </pivotArea>
    </chartFormat>
    <chartFormat chart="5" format="2" series="1">
      <pivotArea type="data" outline="0" fieldPosition="0">
        <references count="2">
          <reference field="4294967294" count="1" selected="0">
            <x v="0"/>
          </reference>
          <reference field="2" count="1" selected="0">
            <x v="2"/>
          </reference>
        </references>
      </pivotArea>
    </chartFormat>
    <chartFormat chart="5" format="3" series="1">
      <pivotArea type="data" outline="0" fieldPosition="0">
        <references count="2">
          <reference field="4294967294" count="1" selected="0">
            <x v="0"/>
          </reference>
          <reference field="2" count="1" selected="0">
            <x v="3"/>
          </reference>
        </references>
      </pivotArea>
    </chartFormat>
    <chartFormat chart="5" format="4" series="1">
      <pivotArea type="data" outline="0" fieldPosition="0">
        <references count="2">
          <reference field="4294967294" count="1" selected="0">
            <x v="0"/>
          </reference>
          <reference field="2" count="1" selected="0">
            <x v="4"/>
          </reference>
        </references>
      </pivotArea>
    </chartFormat>
    <chartFormat chart="5" format="5">
      <pivotArea type="data" outline="0" fieldPosition="0">
        <references count="3">
          <reference field="4294967294" count="1" selected="0">
            <x v="0"/>
          </reference>
          <reference field="2" count="1" selected="0">
            <x v="0"/>
          </reference>
          <reference field="3" count="1" selected="0">
            <x v="0"/>
          </reference>
        </references>
      </pivotArea>
    </chartFormat>
    <chartFormat chart="5" format="6">
      <pivotArea type="data" outline="0" fieldPosition="0">
        <references count="3">
          <reference field="4294967294" count="1" selected="0">
            <x v="0"/>
          </reference>
          <reference field="2" count="1" selected="0">
            <x v="0"/>
          </reference>
          <reference field="3" count="1" selected="0">
            <x v="1"/>
          </reference>
        </references>
      </pivotArea>
    </chartFormat>
    <chartFormat chart="5" format="7">
      <pivotArea type="data" outline="0" fieldPosition="0">
        <references count="3">
          <reference field="4294967294" count="1" selected="0">
            <x v="0"/>
          </reference>
          <reference field="2" count="1" selected="0">
            <x v="0"/>
          </reference>
          <reference field="3" count="1" selected="0">
            <x v="2"/>
          </reference>
        </references>
      </pivotArea>
    </chartFormat>
    <chartFormat chart="5" format="8">
      <pivotArea type="data" outline="0" fieldPosition="0">
        <references count="3">
          <reference field="4294967294" count="1" selected="0">
            <x v="0"/>
          </reference>
          <reference field="2" count="1" selected="0">
            <x v="0"/>
          </reference>
          <reference field="3" count="1" selected="0">
            <x v="3"/>
          </reference>
        </references>
      </pivotArea>
    </chartFormat>
    <chartFormat chart="5" format="9">
      <pivotArea type="data" outline="0" fieldPosition="0">
        <references count="3">
          <reference field="4294967294" count="1" selected="0">
            <x v="0"/>
          </reference>
          <reference field="2" count="1" selected="0">
            <x v="0"/>
          </reference>
          <reference field="3" count="1" selected="0">
            <x v="4"/>
          </reference>
        </references>
      </pivotArea>
    </chartFormat>
    <chartFormat chart="5" format="10">
      <pivotArea type="data" outline="0" fieldPosition="0">
        <references count="3">
          <reference field="4294967294" count="1" selected="0">
            <x v="0"/>
          </reference>
          <reference field="2" count="1" selected="0">
            <x v="1"/>
          </reference>
          <reference field="3" count="1" selected="0">
            <x v="0"/>
          </reference>
        </references>
      </pivotArea>
    </chartFormat>
    <chartFormat chart="5" format="11">
      <pivotArea type="data" outline="0" fieldPosition="0">
        <references count="3">
          <reference field="4294967294" count="1" selected="0">
            <x v="0"/>
          </reference>
          <reference field="2" count="1" selected="0">
            <x v="1"/>
          </reference>
          <reference field="3" count="1" selected="0">
            <x v="1"/>
          </reference>
        </references>
      </pivotArea>
    </chartFormat>
    <chartFormat chart="5" format="12">
      <pivotArea type="data" outline="0" fieldPosition="0">
        <references count="3">
          <reference field="4294967294" count="1" selected="0">
            <x v="0"/>
          </reference>
          <reference field="2" count="1" selected="0">
            <x v="1"/>
          </reference>
          <reference field="3" count="1" selected="0">
            <x v="2"/>
          </reference>
        </references>
      </pivotArea>
    </chartFormat>
    <chartFormat chart="5" format="13">
      <pivotArea type="data" outline="0" fieldPosition="0">
        <references count="3">
          <reference field="4294967294" count="1" selected="0">
            <x v="0"/>
          </reference>
          <reference field="2" count="1" selected="0">
            <x v="1"/>
          </reference>
          <reference field="3" count="1" selected="0">
            <x v="3"/>
          </reference>
        </references>
      </pivotArea>
    </chartFormat>
    <chartFormat chart="5" format="14">
      <pivotArea type="data" outline="0" fieldPosition="0">
        <references count="3">
          <reference field="4294967294" count="1" selected="0">
            <x v="0"/>
          </reference>
          <reference field="2" count="1" selected="0">
            <x v="1"/>
          </reference>
          <reference field="3" count="1" selected="0">
            <x v="4"/>
          </reference>
        </references>
      </pivotArea>
    </chartFormat>
    <chartFormat chart="5" format="15">
      <pivotArea type="data" outline="0" fieldPosition="0">
        <references count="3">
          <reference field="4294967294" count="1" selected="0">
            <x v="0"/>
          </reference>
          <reference field="2" count="1" selected="0">
            <x v="2"/>
          </reference>
          <reference field="3" count="1" selected="0">
            <x v="0"/>
          </reference>
        </references>
      </pivotArea>
    </chartFormat>
    <chartFormat chart="5" format="16">
      <pivotArea type="data" outline="0" fieldPosition="0">
        <references count="3">
          <reference field="4294967294" count="1" selected="0">
            <x v="0"/>
          </reference>
          <reference field="2" count="1" selected="0">
            <x v="2"/>
          </reference>
          <reference field="3" count="1" selected="0">
            <x v="1"/>
          </reference>
        </references>
      </pivotArea>
    </chartFormat>
    <chartFormat chart="5" format="17">
      <pivotArea type="data" outline="0" fieldPosition="0">
        <references count="3">
          <reference field="4294967294" count="1" selected="0">
            <x v="0"/>
          </reference>
          <reference field="2" count="1" selected="0">
            <x v="2"/>
          </reference>
          <reference field="3" count="1" selected="0">
            <x v="2"/>
          </reference>
        </references>
      </pivotArea>
    </chartFormat>
    <chartFormat chart="5" format="18">
      <pivotArea type="data" outline="0" fieldPosition="0">
        <references count="3">
          <reference field="4294967294" count="1" selected="0">
            <x v="0"/>
          </reference>
          <reference field="2" count="1" selected="0">
            <x v="2"/>
          </reference>
          <reference field="3" count="1" selected="0">
            <x v="3"/>
          </reference>
        </references>
      </pivotArea>
    </chartFormat>
    <chartFormat chart="5" format="19">
      <pivotArea type="data" outline="0" fieldPosition="0">
        <references count="3">
          <reference field="4294967294" count="1" selected="0">
            <x v="0"/>
          </reference>
          <reference field="2" count="1" selected="0">
            <x v="2"/>
          </reference>
          <reference field="3" count="1" selected="0">
            <x v="4"/>
          </reference>
        </references>
      </pivotArea>
    </chartFormat>
    <chartFormat chart="5" format="20">
      <pivotArea type="data" outline="0" fieldPosition="0">
        <references count="3">
          <reference field="4294967294" count="1" selected="0">
            <x v="0"/>
          </reference>
          <reference field="2" count="1" selected="0">
            <x v="3"/>
          </reference>
          <reference field="3" count="1" selected="0">
            <x v="0"/>
          </reference>
        </references>
      </pivotArea>
    </chartFormat>
    <chartFormat chart="5" format="21">
      <pivotArea type="data" outline="0" fieldPosition="0">
        <references count="3">
          <reference field="4294967294" count="1" selected="0">
            <x v="0"/>
          </reference>
          <reference field="2" count="1" selected="0">
            <x v="3"/>
          </reference>
          <reference field="3" count="1" selected="0">
            <x v="1"/>
          </reference>
        </references>
      </pivotArea>
    </chartFormat>
    <chartFormat chart="5" format="22">
      <pivotArea type="data" outline="0" fieldPosition="0">
        <references count="3">
          <reference field="4294967294" count="1" selected="0">
            <x v="0"/>
          </reference>
          <reference field="2" count="1" selected="0">
            <x v="3"/>
          </reference>
          <reference field="3" count="1" selected="0">
            <x v="2"/>
          </reference>
        </references>
      </pivotArea>
    </chartFormat>
    <chartFormat chart="5" format="23">
      <pivotArea type="data" outline="0" fieldPosition="0">
        <references count="3">
          <reference field="4294967294" count="1" selected="0">
            <x v="0"/>
          </reference>
          <reference field="2" count="1" selected="0">
            <x v="3"/>
          </reference>
          <reference field="3" count="1" selected="0">
            <x v="3"/>
          </reference>
        </references>
      </pivotArea>
    </chartFormat>
    <chartFormat chart="5" format="24">
      <pivotArea type="data" outline="0" fieldPosition="0">
        <references count="3">
          <reference field="4294967294" count="1" selected="0">
            <x v="0"/>
          </reference>
          <reference field="2" count="1" selected="0">
            <x v="3"/>
          </reference>
          <reference field="3" count="1" selected="0">
            <x v="4"/>
          </reference>
        </references>
      </pivotArea>
    </chartFormat>
    <chartFormat chart="5" format="25">
      <pivotArea type="data" outline="0" fieldPosition="0">
        <references count="3">
          <reference field="4294967294" count="1" selected="0">
            <x v="0"/>
          </reference>
          <reference field="2" count="1" selected="0">
            <x v="4"/>
          </reference>
          <reference field="3" count="1" selected="0">
            <x v="0"/>
          </reference>
        </references>
      </pivotArea>
    </chartFormat>
    <chartFormat chart="5" format="26">
      <pivotArea type="data" outline="0" fieldPosition="0">
        <references count="3">
          <reference field="4294967294" count="1" selected="0">
            <x v="0"/>
          </reference>
          <reference field="2" count="1" selected="0">
            <x v="4"/>
          </reference>
          <reference field="3" count="1" selected="0">
            <x v="1"/>
          </reference>
        </references>
      </pivotArea>
    </chartFormat>
    <chartFormat chart="5" format="27">
      <pivotArea type="data" outline="0" fieldPosition="0">
        <references count="3">
          <reference field="4294967294" count="1" selected="0">
            <x v="0"/>
          </reference>
          <reference field="2" count="1" selected="0">
            <x v="4"/>
          </reference>
          <reference field="3" count="1" selected="0">
            <x v="2"/>
          </reference>
        </references>
      </pivotArea>
    </chartFormat>
    <chartFormat chart="5" format="28">
      <pivotArea type="data" outline="0" fieldPosition="0">
        <references count="3">
          <reference field="4294967294" count="1" selected="0">
            <x v="0"/>
          </reference>
          <reference field="2" count="1" selected="0">
            <x v="4"/>
          </reference>
          <reference field="3" count="1" selected="0">
            <x v="3"/>
          </reference>
        </references>
      </pivotArea>
    </chartFormat>
    <chartFormat chart="5" format="29">
      <pivotArea type="data" outline="0" fieldPosition="0">
        <references count="3">
          <reference field="4294967294" count="1" selected="0">
            <x v="0"/>
          </reference>
          <reference field="2" count="1" selected="0">
            <x v="4"/>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F9972FD-0160-4D01-A25D-FBB784ED33FA}" sourceName="Region">
  <pivotTables>
    <pivotTable tabId="9" name="PivotTable1"/>
  </pivotTables>
  <data>
    <tabular pivotCacheId="812613549">
      <items count="5">
        <i x="4" s="1"/>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32A0B82B-72D9-42A1-A252-D0020CBCF91E}" sourceName="Product_Category">
  <pivotTables>
    <pivotTable tabId="9" name="PivotTable1"/>
  </pivotTables>
  <data>
    <tabular pivotCacheId="812613549">
      <items count="5">
        <i x="0"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75F0290-CD4F-40D5-B764-148BC1678CAA}" cache="Slicer_Region" caption="Region" rowHeight="247650"/>
  <slicer name="Product_Category" xr10:uid="{31E61B09-9305-4A39-98E9-C631F1A2AD1B}" cache="Slicer_Product_Category" caption="Product_Category" rowHeight="247650"/>
</slicers>
</file>

<file path=xl/theme/theme1.xml><?xml version="1.0" encoding="utf-8"?>
<a:theme xmlns:a="http://schemas.openxmlformats.org/drawingml/2006/main" name="Office Theme">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8B697-BD7F-4D2E-8CD3-DD03451244FC}">
  <dimension ref="A1:B15"/>
  <sheetViews>
    <sheetView workbookViewId="0">
      <selection activeCell="C21" sqref="C21"/>
    </sheetView>
  </sheetViews>
  <sheetFormatPr defaultRowHeight="14.4" x14ac:dyDescent="0.3"/>
  <sheetData>
    <row r="1" spans="1:2" x14ac:dyDescent="0.3">
      <c r="A1" s="18" t="s">
        <v>108</v>
      </c>
      <c r="B1" s="18"/>
    </row>
    <row r="3" spans="1:2" x14ac:dyDescent="0.3">
      <c r="A3" t="s">
        <v>109</v>
      </c>
      <c r="B3">
        <v>976.08879999999965</v>
      </c>
    </row>
    <row r="4" spans="1:2" x14ac:dyDescent="0.3">
      <c r="A4" t="s">
        <v>110</v>
      </c>
      <c r="B4">
        <v>21.161850448978406</v>
      </c>
    </row>
    <row r="5" spans="1:2" x14ac:dyDescent="0.3">
      <c r="A5" t="s">
        <v>111</v>
      </c>
      <c r="B5">
        <v>976.72</v>
      </c>
    </row>
    <row r="6" spans="1:2" x14ac:dyDescent="0.3">
      <c r="A6" t="s">
        <v>112</v>
      </c>
      <c r="B6" t="e">
        <v>#N/A</v>
      </c>
    </row>
    <row r="7" spans="1:2" x14ac:dyDescent="0.3">
      <c r="A7" t="s">
        <v>113</v>
      </c>
      <c r="B7">
        <v>299.27375909856431</v>
      </c>
    </row>
    <row r="8" spans="1:2" x14ac:dyDescent="0.3">
      <c r="A8" t="s">
        <v>114</v>
      </c>
      <c r="B8">
        <v>89564.782884985514</v>
      </c>
    </row>
    <row r="9" spans="1:2" x14ac:dyDescent="0.3">
      <c r="A9" t="s">
        <v>115</v>
      </c>
      <c r="B9">
        <v>-8.8595231919740502E-2</v>
      </c>
    </row>
    <row r="10" spans="1:2" x14ac:dyDescent="0.3">
      <c r="A10" t="s">
        <v>116</v>
      </c>
      <c r="B10">
        <v>0.14685796564193557</v>
      </c>
    </row>
    <row r="11" spans="1:2" x14ac:dyDescent="0.3">
      <c r="A11" t="s">
        <v>117</v>
      </c>
      <c r="B11">
        <v>1665.15</v>
      </c>
    </row>
    <row r="12" spans="1:2" x14ac:dyDescent="0.3">
      <c r="A12" t="s">
        <v>118</v>
      </c>
      <c r="B12">
        <v>258.51</v>
      </c>
    </row>
    <row r="13" spans="1:2" x14ac:dyDescent="0.3">
      <c r="A13" t="s">
        <v>119</v>
      </c>
      <c r="B13">
        <v>1923.66</v>
      </c>
    </row>
    <row r="14" spans="1:2" x14ac:dyDescent="0.3">
      <c r="A14" t="s">
        <v>120</v>
      </c>
      <c r="B14">
        <v>195217.75999999992</v>
      </c>
    </row>
    <row r="15" spans="1:2" ht="15" thickBot="1" x14ac:dyDescent="0.35">
      <c r="A15" s="17" t="s">
        <v>121</v>
      </c>
      <c r="B15" s="17">
        <v>200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8D9EA-7F04-43B4-BBB0-DA74AC490FD2}">
  <dimension ref="A1:S201"/>
  <sheetViews>
    <sheetView topLeftCell="B1" workbookViewId="0">
      <selection activeCell="L9" sqref="L9"/>
    </sheetView>
  </sheetViews>
  <sheetFormatPr defaultRowHeight="14.4" x14ac:dyDescent="0.3"/>
  <cols>
    <col min="1" max="1" width="8.44140625" bestFit="1" customWidth="1"/>
    <col min="3" max="3" width="6.88671875" bestFit="1" customWidth="1"/>
    <col min="4" max="4" width="8.6640625" bestFit="1" customWidth="1"/>
    <col min="5" max="5" width="9.6640625" bestFit="1" customWidth="1"/>
    <col min="6" max="7" width="8.33203125" bestFit="1" customWidth="1"/>
    <col min="8" max="8" width="10.5546875" bestFit="1" customWidth="1"/>
    <col min="9" max="9" width="6.5546875" bestFit="1" customWidth="1"/>
    <col min="10" max="10" width="14.33203125" bestFit="1" customWidth="1"/>
    <col min="13" max="13" width="5.77734375" customWidth="1"/>
    <col min="14" max="14" width="11.88671875" bestFit="1" customWidth="1"/>
    <col min="19" max="19" width="12" customWidth="1"/>
  </cols>
  <sheetData>
    <row r="1" spans="1:19" ht="29.4" thickBot="1" x14ac:dyDescent="0.35">
      <c r="A1" s="1" t="s">
        <v>0</v>
      </c>
      <c r="B1" s="1" t="s">
        <v>1</v>
      </c>
      <c r="C1" s="1" t="s">
        <v>2</v>
      </c>
      <c r="D1" s="1" t="s">
        <v>3</v>
      </c>
      <c r="E1" s="1" t="s">
        <v>4</v>
      </c>
      <c r="F1" s="1" t="s">
        <v>5</v>
      </c>
      <c r="G1" s="1" t="s">
        <v>6</v>
      </c>
      <c r="H1" s="1" t="s">
        <v>7</v>
      </c>
      <c r="I1" s="1" t="s">
        <v>8</v>
      </c>
      <c r="J1" s="19" t="s">
        <v>122</v>
      </c>
    </row>
    <row r="2" spans="1:19" ht="29.4" thickBot="1" x14ac:dyDescent="0.35">
      <c r="A2" s="2" t="s">
        <v>58</v>
      </c>
      <c r="B2" s="2" t="s">
        <v>23</v>
      </c>
      <c r="C2" s="2" t="s">
        <v>11</v>
      </c>
      <c r="D2" s="2" t="s">
        <v>15</v>
      </c>
      <c r="E2" s="3">
        <v>1923.66</v>
      </c>
      <c r="F2" s="3">
        <v>9</v>
      </c>
      <c r="G2" s="3">
        <v>0.2</v>
      </c>
      <c r="H2" s="4">
        <v>45580</v>
      </c>
      <c r="I2" s="3">
        <v>769.46</v>
      </c>
      <c r="J2" s="20">
        <f ca="1">NOW()</f>
        <v>46142.372622106479</v>
      </c>
      <c r="N2" s="26" t="s">
        <v>123</v>
      </c>
      <c r="O2" s="26"/>
      <c r="P2" s="26"/>
      <c r="Q2" s="26"/>
      <c r="R2" s="26"/>
      <c r="S2" s="26"/>
    </row>
    <row r="3" spans="1:19" ht="29.4" thickBot="1" x14ac:dyDescent="0.35">
      <c r="A3" s="2" t="s">
        <v>58</v>
      </c>
      <c r="B3" s="2" t="s">
        <v>23</v>
      </c>
      <c r="C3" s="2" t="s">
        <v>24</v>
      </c>
      <c r="D3" s="2" t="s">
        <v>21</v>
      </c>
      <c r="E3" s="3">
        <v>1681.21</v>
      </c>
      <c r="F3" s="3">
        <v>5</v>
      </c>
      <c r="G3" s="3">
        <v>0.2</v>
      </c>
      <c r="H3" s="4">
        <v>45670</v>
      </c>
      <c r="I3" s="3">
        <v>336.24</v>
      </c>
      <c r="J3" s="20">
        <f ca="1">NOW()</f>
        <v>46142.372622106479</v>
      </c>
      <c r="N3" t="str">
        <f>INDEX(B1:B201,MATCH(MAX(I3:I202),I:I,0))</f>
        <v>David Brown</v>
      </c>
    </row>
    <row r="4" spans="1:19" ht="29.4" thickBot="1" x14ac:dyDescent="0.35">
      <c r="A4" s="2" t="s">
        <v>70</v>
      </c>
      <c r="B4" s="2" t="s">
        <v>53</v>
      </c>
      <c r="C4" s="2" t="s">
        <v>24</v>
      </c>
      <c r="D4" s="2" t="s">
        <v>15</v>
      </c>
      <c r="E4" s="3">
        <v>1622.62</v>
      </c>
      <c r="F4" s="3">
        <v>12</v>
      </c>
      <c r="G4" s="3">
        <v>0.2</v>
      </c>
      <c r="H4" s="4">
        <v>45677</v>
      </c>
      <c r="I4" s="3">
        <v>649.04999999999995</v>
      </c>
      <c r="J4" s="20">
        <f ca="1">NOW()</f>
        <v>46142.372622106479</v>
      </c>
    </row>
    <row r="5" spans="1:19" ht="29.4" thickBot="1" x14ac:dyDescent="0.35">
      <c r="A5" s="2" t="s">
        <v>65</v>
      </c>
      <c r="B5" s="2" t="s">
        <v>47</v>
      </c>
      <c r="C5" s="2" t="s">
        <v>34</v>
      </c>
      <c r="D5" s="2" t="s">
        <v>39</v>
      </c>
      <c r="E5" s="3">
        <v>1618.22</v>
      </c>
      <c r="F5" s="3">
        <v>12</v>
      </c>
      <c r="G5" s="3">
        <v>0.2</v>
      </c>
      <c r="H5" s="4">
        <v>45712</v>
      </c>
      <c r="I5" s="3">
        <v>582.55999999999995</v>
      </c>
      <c r="J5" s="20">
        <f ca="1">NOW()</f>
        <v>46142.372622106479</v>
      </c>
    </row>
    <row r="6" spans="1:19" ht="29.4" thickBot="1" x14ac:dyDescent="0.35">
      <c r="A6" s="2" t="s">
        <v>72</v>
      </c>
      <c r="B6" s="2" t="s">
        <v>31</v>
      </c>
      <c r="C6" s="2" t="s">
        <v>24</v>
      </c>
      <c r="D6" s="2" t="s">
        <v>15</v>
      </c>
      <c r="E6" s="3">
        <v>1589.42</v>
      </c>
      <c r="F6" s="3">
        <v>6</v>
      </c>
      <c r="G6" s="3">
        <v>0.15</v>
      </c>
      <c r="H6" s="4">
        <v>45651</v>
      </c>
      <c r="I6" s="3">
        <v>675.5</v>
      </c>
      <c r="J6" s="20">
        <f ca="1">NOW()</f>
        <v>46142.372622106479</v>
      </c>
    </row>
    <row r="7" spans="1:19" ht="29.4" thickBot="1" x14ac:dyDescent="0.35">
      <c r="A7" s="2" t="s">
        <v>37</v>
      </c>
      <c r="B7" s="2" t="s">
        <v>38</v>
      </c>
      <c r="C7" s="2" t="s">
        <v>11</v>
      </c>
      <c r="D7" s="2" t="s">
        <v>39</v>
      </c>
      <c r="E7" s="3">
        <v>1572.82</v>
      </c>
      <c r="F7" s="3">
        <v>6</v>
      </c>
      <c r="G7" s="3">
        <v>10</v>
      </c>
      <c r="H7" s="4">
        <v>45402</v>
      </c>
      <c r="I7" s="3">
        <v>672.38</v>
      </c>
      <c r="J7" s="20">
        <f ca="1">NOW()</f>
        <v>46142.372622106479</v>
      </c>
    </row>
    <row r="8" spans="1:19" ht="29.4" thickBot="1" x14ac:dyDescent="0.35">
      <c r="A8" s="2" t="s">
        <v>70</v>
      </c>
      <c r="B8" s="2" t="s">
        <v>38</v>
      </c>
      <c r="C8" s="2" t="s">
        <v>11</v>
      </c>
      <c r="D8" s="2" t="s">
        <v>21</v>
      </c>
      <c r="E8" s="3">
        <v>1526.6</v>
      </c>
      <c r="F8" s="3">
        <v>13</v>
      </c>
      <c r="G8" s="3">
        <v>0.2</v>
      </c>
      <c r="H8" s="4">
        <v>45512</v>
      </c>
      <c r="I8" s="3">
        <v>305.32</v>
      </c>
      <c r="J8" s="20">
        <f ca="1">NOW()</f>
        <v>46142.372622106479</v>
      </c>
    </row>
    <row r="9" spans="1:19" ht="29.4" thickBot="1" x14ac:dyDescent="0.35">
      <c r="A9" s="2" t="s">
        <v>46</v>
      </c>
      <c r="B9" s="2" t="s">
        <v>47</v>
      </c>
      <c r="C9" s="2" t="s">
        <v>11</v>
      </c>
      <c r="D9" s="2" t="s">
        <v>12</v>
      </c>
      <c r="E9" s="3">
        <v>1506.14</v>
      </c>
      <c r="F9" s="3">
        <v>13</v>
      </c>
      <c r="G9" s="3">
        <v>10</v>
      </c>
      <c r="H9" s="4">
        <v>45412</v>
      </c>
      <c r="I9" s="3">
        <v>481.96</v>
      </c>
      <c r="J9" s="20">
        <f ca="1">NOW()</f>
        <v>46142.372622106479</v>
      </c>
    </row>
    <row r="10" spans="1:19" ht="29.4" thickBot="1" x14ac:dyDescent="0.35">
      <c r="A10" s="2" t="s">
        <v>19</v>
      </c>
      <c r="B10" s="2" t="s">
        <v>43</v>
      </c>
      <c r="C10" s="2" t="s">
        <v>20</v>
      </c>
      <c r="D10" s="2" t="s">
        <v>21</v>
      </c>
      <c r="E10" s="3">
        <v>1502.93</v>
      </c>
      <c r="F10" s="3">
        <v>14</v>
      </c>
      <c r="G10" s="3">
        <v>10</v>
      </c>
      <c r="H10" s="4">
        <v>45410</v>
      </c>
      <c r="I10" s="3">
        <v>300.58999999999997</v>
      </c>
      <c r="J10" s="20">
        <f ca="1">NOW()</f>
        <v>46142.372622106479</v>
      </c>
    </row>
    <row r="11" spans="1:19" ht="29.4" thickBot="1" x14ac:dyDescent="0.35">
      <c r="A11" s="2" t="s">
        <v>25</v>
      </c>
      <c r="B11" s="2" t="s">
        <v>55</v>
      </c>
      <c r="C11" s="2" t="s">
        <v>11</v>
      </c>
      <c r="D11" s="2" t="s">
        <v>15</v>
      </c>
      <c r="E11" s="3">
        <v>1493.49</v>
      </c>
      <c r="F11" s="3">
        <v>18</v>
      </c>
      <c r="G11" s="3">
        <v>0</v>
      </c>
      <c r="H11" s="4">
        <v>45734</v>
      </c>
      <c r="I11" s="3">
        <v>746.74</v>
      </c>
      <c r="J11" s="20">
        <f ca="1">NOW()</f>
        <v>46142.372622106479</v>
      </c>
    </row>
    <row r="12" spans="1:19" ht="29.4" thickBot="1" x14ac:dyDescent="0.35">
      <c r="A12" s="2" t="s">
        <v>74</v>
      </c>
      <c r="B12" s="2" t="s">
        <v>29</v>
      </c>
      <c r="C12" s="2" t="s">
        <v>34</v>
      </c>
      <c r="D12" s="2" t="s">
        <v>21</v>
      </c>
      <c r="E12" s="3">
        <v>1488.58</v>
      </c>
      <c r="F12" s="3">
        <v>10</v>
      </c>
      <c r="G12" s="3">
        <v>0.15</v>
      </c>
      <c r="H12" s="4">
        <v>45640</v>
      </c>
      <c r="I12" s="3">
        <v>316.32</v>
      </c>
      <c r="J12" s="20">
        <f ca="1">NOW()</f>
        <v>46142.372622106479</v>
      </c>
    </row>
    <row r="13" spans="1:19" ht="29.4" thickBot="1" x14ac:dyDescent="0.35">
      <c r="A13" s="2" t="s">
        <v>70</v>
      </c>
      <c r="B13" s="2" t="s">
        <v>36</v>
      </c>
      <c r="C13" s="2" t="s">
        <v>34</v>
      </c>
      <c r="D13" s="2" t="s">
        <v>15</v>
      </c>
      <c r="E13" s="3">
        <v>1465.35</v>
      </c>
      <c r="F13" s="3">
        <v>8</v>
      </c>
      <c r="G13" s="3">
        <v>0.2</v>
      </c>
      <c r="H13" s="4">
        <v>45746</v>
      </c>
      <c r="I13" s="3">
        <v>586.14</v>
      </c>
      <c r="J13" s="20">
        <f ca="1">NOW()</f>
        <v>46142.372622106479</v>
      </c>
    </row>
    <row r="14" spans="1:19" ht="29.4" thickBot="1" x14ac:dyDescent="0.35">
      <c r="A14" s="2" t="s">
        <v>75</v>
      </c>
      <c r="B14" s="2" t="s">
        <v>71</v>
      </c>
      <c r="C14" s="2" t="s">
        <v>34</v>
      </c>
      <c r="D14" s="2" t="s">
        <v>15</v>
      </c>
      <c r="E14" s="3">
        <v>1456.94</v>
      </c>
      <c r="F14" s="3">
        <v>14</v>
      </c>
      <c r="G14" s="3">
        <v>0.05</v>
      </c>
      <c r="H14" s="4">
        <v>45745</v>
      </c>
      <c r="I14" s="3">
        <v>692.05</v>
      </c>
      <c r="J14" s="20">
        <f ca="1">NOW()</f>
        <v>46142.372622106479</v>
      </c>
    </row>
    <row r="15" spans="1:19" ht="29.4" thickBot="1" x14ac:dyDescent="0.35">
      <c r="A15" s="2" t="s">
        <v>54</v>
      </c>
      <c r="B15" s="2" t="s">
        <v>55</v>
      </c>
      <c r="C15" s="2" t="s">
        <v>24</v>
      </c>
      <c r="D15" s="2" t="s">
        <v>21</v>
      </c>
      <c r="E15" s="3">
        <v>1450.71</v>
      </c>
      <c r="F15" s="3">
        <v>5</v>
      </c>
      <c r="G15" s="3">
        <v>0.1</v>
      </c>
      <c r="H15" s="4">
        <v>45427</v>
      </c>
      <c r="I15" s="3">
        <v>326.41000000000003</v>
      </c>
      <c r="J15" s="20">
        <f ca="1">NOW()</f>
        <v>46142.372622106479</v>
      </c>
    </row>
    <row r="16" spans="1:19" ht="29.4" thickBot="1" x14ac:dyDescent="0.35">
      <c r="A16" s="2" t="s">
        <v>72</v>
      </c>
      <c r="B16" s="2" t="s">
        <v>64</v>
      </c>
      <c r="C16" s="2" t="s">
        <v>11</v>
      </c>
      <c r="D16" s="2" t="s">
        <v>39</v>
      </c>
      <c r="E16" s="3">
        <v>1443.98</v>
      </c>
      <c r="F16" s="3">
        <v>19</v>
      </c>
      <c r="G16" s="3">
        <v>0</v>
      </c>
      <c r="H16" s="4">
        <v>45547</v>
      </c>
      <c r="I16" s="3">
        <v>649.79</v>
      </c>
      <c r="J16" s="20">
        <f ca="1">NOW()</f>
        <v>46142.372622106479</v>
      </c>
    </row>
    <row r="17" spans="1:10" ht="29.4" thickBot="1" x14ac:dyDescent="0.35">
      <c r="A17" s="2" t="s">
        <v>28</v>
      </c>
      <c r="B17" s="2" t="s">
        <v>26</v>
      </c>
      <c r="C17" s="2" t="s">
        <v>34</v>
      </c>
      <c r="D17" s="2" t="s">
        <v>27</v>
      </c>
      <c r="E17" s="3">
        <v>1432.47</v>
      </c>
      <c r="F17" s="3">
        <v>16</v>
      </c>
      <c r="G17" s="3">
        <v>0.15</v>
      </c>
      <c r="H17" s="4">
        <v>45640</v>
      </c>
      <c r="I17" s="3">
        <v>426.16</v>
      </c>
      <c r="J17" s="20">
        <f ca="1">NOW()</f>
        <v>46142.372622106479</v>
      </c>
    </row>
    <row r="18" spans="1:10" ht="29.4" thickBot="1" x14ac:dyDescent="0.35">
      <c r="A18" s="2" t="s">
        <v>65</v>
      </c>
      <c r="B18" s="2" t="s">
        <v>50</v>
      </c>
      <c r="C18" s="2" t="s">
        <v>18</v>
      </c>
      <c r="D18" s="2" t="s">
        <v>21</v>
      </c>
      <c r="E18" s="3">
        <v>1410.59</v>
      </c>
      <c r="F18" s="3">
        <v>15</v>
      </c>
      <c r="G18" s="3">
        <v>0</v>
      </c>
      <c r="H18" s="4">
        <v>45615</v>
      </c>
      <c r="I18" s="3">
        <v>352.65</v>
      </c>
      <c r="J18" s="20">
        <f ca="1">NOW()</f>
        <v>46142.372622106479</v>
      </c>
    </row>
    <row r="19" spans="1:10" ht="15" thickBot="1" x14ac:dyDescent="0.35">
      <c r="A19" s="2" t="s">
        <v>52</v>
      </c>
      <c r="B19" s="2" t="s">
        <v>48</v>
      </c>
      <c r="C19" s="2" t="s">
        <v>34</v>
      </c>
      <c r="D19" s="2" t="s">
        <v>27</v>
      </c>
      <c r="E19" s="3">
        <v>1410.06</v>
      </c>
      <c r="F19" s="3">
        <v>11</v>
      </c>
      <c r="G19" s="3">
        <v>0.05</v>
      </c>
      <c r="H19" s="4">
        <v>45434</v>
      </c>
      <c r="I19" s="3">
        <v>468.84</v>
      </c>
      <c r="J19" s="20">
        <f ca="1">NOW()</f>
        <v>46142.372622106479</v>
      </c>
    </row>
    <row r="20" spans="1:10" ht="29.4" thickBot="1" x14ac:dyDescent="0.35">
      <c r="A20" s="2" t="s">
        <v>57</v>
      </c>
      <c r="B20" s="2" t="s">
        <v>31</v>
      </c>
      <c r="C20" s="2" t="s">
        <v>18</v>
      </c>
      <c r="D20" s="2" t="s">
        <v>12</v>
      </c>
      <c r="E20" s="3">
        <v>1383.3</v>
      </c>
      <c r="F20" s="3">
        <v>8</v>
      </c>
      <c r="G20" s="3">
        <v>0.1</v>
      </c>
      <c r="H20" s="4">
        <v>45478</v>
      </c>
      <c r="I20" s="3">
        <v>497.99</v>
      </c>
      <c r="J20" s="20">
        <f ca="1">NOW()</f>
        <v>46142.372622106479</v>
      </c>
    </row>
    <row r="21" spans="1:10" ht="29.4" thickBot="1" x14ac:dyDescent="0.35">
      <c r="A21" s="2" t="s">
        <v>68</v>
      </c>
      <c r="B21" s="2" t="s">
        <v>55</v>
      </c>
      <c r="C21" s="2" t="s">
        <v>11</v>
      </c>
      <c r="D21" s="2" t="s">
        <v>27</v>
      </c>
      <c r="E21" s="3">
        <v>1371.34</v>
      </c>
      <c r="F21" s="3">
        <v>5</v>
      </c>
      <c r="G21" s="3">
        <v>0.05</v>
      </c>
      <c r="H21" s="4">
        <v>45488</v>
      </c>
      <c r="I21" s="3">
        <v>455.97</v>
      </c>
      <c r="J21" s="20">
        <f ca="1">NOW()</f>
        <v>46142.372622106479</v>
      </c>
    </row>
    <row r="22" spans="1:10" ht="29.4" thickBot="1" x14ac:dyDescent="0.35">
      <c r="A22" s="2" t="s">
        <v>13</v>
      </c>
      <c r="B22" s="2" t="s">
        <v>59</v>
      </c>
      <c r="C22" s="2" t="s">
        <v>11</v>
      </c>
      <c r="D22" s="2" t="s">
        <v>15</v>
      </c>
      <c r="E22" s="3">
        <v>1360.36</v>
      </c>
      <c r="F22" s="3">
        <v>17</v>
      </c>
      <c r="G22" s="3">
        <v>0</v>
      </c>
      <c r="H22" s="4">
        <v>45473</v>
      </c>
      <c r="I22" s="3">
        <v>680.18</v>
      </c>
      <c r="J22" s="20">
        <f ca="1">NOW()</f>
        <v>46142.372622106479</v>
      </c>
    </row>
    <row r="23" spans="1:10" ht="29.4" thickBot="1" x14ac:dyDescent="0.35">
      <c r="A23" s="2" t="s">
        <v>49</v>
      </c>
      <c r="B23" s="2" t="s">
        <v>23</v>
      </c>
      <c r="C23" s="2" t="s">
        <v>11</v>
      </c>
      <c r="D23" s="2" t="s">
        <v>12</v>
      </c>
      <c r="E23" s="3">
        <v>1353.79</v>
      </c>
      <c r="F23" s="3">
        <v>14</v>
      </c>
      <c r="G23" s="3">
        <v>0.1</v>
      </c>
      <c r="H23" s="4">
        <v>45656</v>
      </c>
      <c r="I23" s="3">
        <v>487.36</v>
      </c>
      <c r="J23" s="20">
        <f ca="1">NOW()</f>
        <v>46142.372622106479</v>
      </c>
    </row>
    <row r="24" spans="1:10" ht="29.4" thickBot="1" x14ac:dyDescent="0.35">
      <c r="A24" s="2" t="s">
        <v>32</v>
      </c>
      <c r="B24" s="2" t="s">
        <v>61</v>
      </c>
      <c r="C24" s="2" t="s">
        <v>20</v>
      </c>
      <c r="D24" s="2" t="s">
        <v>27</v>
      </c>
      <c r="E24" s="3">
        <v>1350.33</v>
      </c>
      <c r="F24" s="3">
        <v>10</v>
      </c>
      <c r="G24" s="3">
        <v>0</v>
      </c>
      <c r="H24" s="4">
        <v>45615</v>
      </c>
      <c r="I24" s="3">
        <v>472.62</v>
      </c>
      <c r="J24" s="20">
        <f ca="1">NOW()</f>
        <v>46142.372622106479</v>
      </c>
    </row>
    <row r="25" spans="1:10" ht="29.4" thickBot="1" x14ac:dyDescent="0.35">
      <c r="A25" s="2" t="s">
        <v>37</v>
      </c>
      <c r="B25" s="2" t="s">
        <v>36</v>
      </c>
      <c r="C25" s="2" t="s">
        <v>34</v>
      </c>
      <c r="D25" s="2" t="s">
        <v>12</v>
      </c>
      <c r="E25" s="3">
        <v>1343.13</v>
      </c>
      <c r="F25" s="3">
        <v>14</v>
      </c>
      <c r="G25" s="3">
        <v>10</v>
      </c>
      <c r="H25" s="4">
        <v>45404</v>
      </c>
      <c r="I25" s="3">
        <v>456.66</v>
      </c>
      <c r="J25" s="20">
        <f ca="1">NOW()</f>
        <v>46142.372622106479</v>
      </c>
    </row>
    <row r="26" spans="1:10" ht="29.4" thickBot="1" x14ac:dyDescent="0.35">
      <c r="A26" s="2" t="s">
        <v>67</v>
      </c>
      <c r="B26" s="2" t="s">
        <v>10</v>
      </c>
      <c r="C26" s="2" t="s">
        <v>20</v>
      </c>
      <c r="D26" s="2" t="s">
        <v>21</v>
      </c>
      <c r="E26" s="3">
        <v>1335.87</v>
      </c>
      <c r="F26" s="3">
        <v>17</v>
      </c>
      <c r="G26" s="3">
        <v>0</v>
      </c>
      <c r="H26" s="4">
        <v>45544</v>
      </c>
      <c r="I26" s="3">
        <v>333.97</v>
      </c>
      <c r="J26" s="20">
        <f ca="1">NOW()</f>
        <v>46142.372622106479</v>
      </c>
    </row>
    <row r="27" spans="1:10" ht="29.4" thickBot="1" x14ac:dyDescent="0.35">
      <c r="A27" s="2" t="s">
        <v>28</v>
      </c>
      <c r="B27" s="2" t="s">
        <v>29</v>
      </c>
      <c r="C27" s="2" t="s">
        <v>11</v>
      </c>
      <c r="D27" s="2" t="s">
        <v>21</v>
      </c>
      <c r="E27" s="3">
        <v>1317.53</v>
      </c>
      <c r="F27" s="3">
        <v>12</v>
      </c>
      <c r="G27" s="3">
        <v>10</v>
      </c>
      <c r="H27" s="4">
        <v>45398</v>
      </c>
      <c r="I27" s="3">
        <v>312.91000000000003</v>
      </c>
      <c r="J27" s="20">
        <f ca="1">NOW()</f>
        <v>46142.372622106479</v>
      </c>
    </row>
    <row r="28" spans="1:10" ht="29.4" thickBot="1" x14ac:dyDescent="0.35">
      <c r="A28" s="2" t="s">
        <v>72</v>
      </c>
      <c r="B28" s="2" t="s">
        <v>10</v>
      </c>
      <c r="C28" s="2" t="s">
        <v>18</v>
      </c>
      <c r="D28" s="2" t="s">
        <v>39</v>
      </c>
      <c r="E28" s="3">
        <v>1311.26</v>
      </c>
      <c r="F28" s="3">
        <v>6</v>
      </c>
      <c r="G28" s="3">
        <v>0.1</v>
      </c>
      <c r="H28" s="4">
        <v>45698</v>
      </c>
      <c r="I28" s="3">
        <v>531.05999999999995</v>
      </c>
      <c r="J28" s="20">
        <f ca="1">NOW()</f>
        <v>46142.372622106479</v>
      </c>
    </row>
    <row r="29" spans="1:10" ht="29.4" thickBot="1" x14ac:dyDescent="0.35">
      <c r="A29" s="2" t="s">
        <v>9</v>
      </c>
      <c r="B29" s="2" t="s">
        <v>33</v>
      </c>
      <c r="C29" s="2" t="s">
        <v>34</v>
      </c>
      <c r="D29" s="2" t="s">
        <v>15</v>
      </c>
      <c r="E29" s="3">
        <v>1301.8900000000001</v>
      </c>
      <c r="F29" s="3">
        <v>7</v>
      </c>
      <c r="G29" s="3">
        <v>0.15</v>
      </c>
      <c r="H29" s="4">
        <v>45581</v>
      </c>
      <c r="I29" s="3">
        <v>553.29999999999995</v>
      </c>
      <c r="J29" s="20">
        <f ca="1">NOW()</f>
        <v>46142.372622106479</v>
      </c>
    </row>
    <row r="30" spans="1:10" ht="29.4" thickBot="1" x14ac:dyDescent="0.35">
      <c r="A30" s="2" t="s">
        <v>22</v>
      </c>
      <c r="B30" s="2" t="s">
        <v>31</v>
      </c>
      <c r="C30" s="2" t="s">
        <v>18</v>
      </c>
      <c r="D30" s="2" t="s">
        <v>15</v>
      </c>
      <c r="E30" s="3">
        <v>1291.47</v>
      </c>
      <c r="F30" s="3">
        <v>18</v>
      </c>
      <c r="G30" s="3">
        <v>0.1</v>
      </c>
      <c r="H30" s="4">
        <v>45526</v>
      </c>
      <c r="I30" s="3">
        <v>581.16</v>
      </c>
      <c r="J30" s="20">
        <f ca="1">NOW()</f>
        <v>46142.372622106479</v>
      </c>
    </row>
    <row r="31" spans="1:10" ht="29.4" thickBot="1" x14ac:dyDescent="0.35">
      <c r="A31" s="2" t="s">
        <v>54</v>
      </c>
      <c r="B31" s="2" t="s">
        <v>47</v>
      </c>
      <c r="C31" s="2" t="s">
        <v>18</v>
      </c>
      <c r="D31" s="2" t="s">
        <v>27</v>
      </c>
      <c r="E31" s="3">
        <v>1286.54</v>
      </c>
      <c r="F31" s="3">
        <v>8</v>
      </c>
      <c r="G31" s="3">
        <v>0</v>
      </c>
      <c r="H31" s="4">
        <v>45575</v>
      </c>
      <c r="I31" s="3">
        <v>450.29</v>
      </c>
      <c r="J31" s="20">
        <f ca="1">NOW()</f>
        <v>46142.372622106479</v>
      </c>
    </row>
    <row r="32" spans="1:10" ht="29.4" thickBot="1" x14ac:dyDescent="0.35">
      <c r="A32" s="2" t="s">
        <v>72</v>
      </c>
      <c r="B32" s="2" t="s">
        <v>17</v>
      </c>
      <c r="C32" s="2" t="s">
        <v>34</v>
      </c>
      <c r="D32" s="2" t="s">
        <v>15</v>
      </c>
      <c r="E32" s="3">
        <v>1277.8499999999999</v>
      </c>
      <c r="F32" s="3">
        <v>18</v>
      </c>
      <c r="G32" s="3">
        <v>0.2</v>
      </c>
      <c r="H32" s="4">
        <v>45613</v>
      </c>
      <c r="I32" s="3">
        <v>511.14</v>
      </c>
      <c r="J32" s="20">
        <f ca="1">NOW()</f>
        <v>46142.372622106479</v>
      </c>
    </row>
    <row r="33" spans="1:10" ht="29.4" thickBot="1" x14ac:dyDescent="0.35">
      <c r="A33" s="2" t="s">
        <v>49</v>
      </c>
      <c r="B33" s="2" t="s">
        <v>50</v>
      </c>
      <c r="C33" s="2" t="s">
        <v>20</v>
      </c>
      <c r="D33" s="2" t="s">
        <v>12</v>
      </c>
      <c r="E33" s="3">
        <v>1264.49</v>
      </c>
      <c r="F33" s="3">
        <v>16</v>
      </c>
      <c r="G33" s="3">
        <v>0.05</v>
      </c>
      <c r="H33" s="4">
        <v>45549</v>
      </c>
      <c r="I33" s="3">
        <v>480.51</v>
      </c>
      <c r="J33" s="20">
        <f ca="1">NOW()</f>
        <v>46142.372622106479</v>
      </c>
    </row>
    <row r="34" spans="1:10" ht="29.4" thickBot="1" x14ac:dyDescent="0.35">
      <c r="A34" s="2" t="s">
        <v>19</v>
      </c>
      <c r="B34" s="2" t="s">
        <v>53</v>
      </c>
      <c r="C34" s="2" t="s">
        <v>34</v>
      </c>
      <c r="D34" s="2" t="s">
        <v>27</v>
      </c>
      <c r="E34" s="3">
        <v>1261.3399999999999</v>
      </c>
      <c r="F34" s="3">
        <v>3</v>
      </c>
      <c r="G34" s="3">
        <v>0</v>
      </c>
      <c r="H34" s="4">
        <v>45519</v>
      </c>
      <c r="I34" s="3">
        <v>441.47</v>
      </c>
      <c r="J34" s="20">
        <f ca="1">NOW()</f>
        <v>46142.372622106479</v>
      </c>
    </row>
    <row r="35" spans="1:10" ht="29.4" thickBot="1" x14ac:dyDescent="0.35">
      <c r="A35" s="2" t="s">
        <v>44</v>
      </c>
      <c r="B35" s="2" t="s">
        <v>31</v>
      </c>
      <c r="C35" s="2" t="s">
        <v>34</v>
      </c>
      <c r="D35" s="2" t="s">
        <v>39</v>
      </c>
      <c r="E35" s="3">
        <v>1250.71</v>
      </c>
      <c r="F35" s="3">
        <v>7</v>
      </c>
      <c r="G35" s="3">
        <v>0</v>
      </c>
      <c r="H35" s="4">
        <v>45674</v>
      </c>
      <c r="I35" s="3">
        <v>562.82000000000005</v>
      </c>
      <c r="J35" s="20">
        <f ca="1">NOW()</f>
        <v>46142.372622106479</v>
      </c>
    </row>
    <row r="36" spans="1:10" ht="29.4" thickBot="1" x14ac:dyDescent="0.35">
      <c r="A36" s="2" t="s">
        <v>73</v>
      </c>
      <c r="B36" s="2" t="s">
        <v>29</v>
      </c>
      <c r="C36" s="2" t="s">
        <v>34</v>
      </c>
      <c r="D36" s="2" t="s">
        <v>12</v>
      </c>
      <c r="E36" s="3">
        <v>1249.0999999999999</v>
      </c>
      <c r="F36" s="3">
        <v>4</v>
      </c>
      <c r="G36" s="3">
        <v>0.05</v>
      </c>
      <c r="H36" s="4">
        <v>45597</v>
      </c>
      <c r="I36" s="3">
        <v>474.66</v>
      </c>
      <c r="J36" s="20">
        <f ca="1">NOW()</f>
        <v>46142.372622106479</v>
      </c>
    </row>
    <row r="37" spans="1:10" ht="29.4" thickBot="1" x14ac:dyDescent="0.35">
      <c r="A37" s="2" t="s">
        <v>67</v>
      </c>
      <c r="B37" s="2" t="s">
        <v>38</v>
      </c>
      <c r="C37" s="2" t="s">
        <v>24</v>
      </c>
      <c r="D37" s="2" t="s">
        <v>12</v>
      </c>
      <c r="E37" s="3">
        <v>1248.82</v>
      </c>
      <c r="F37" s="3">
        <v>2</v>
      </c>
      <c r="G37" s="3">
        <v>0.1</v>
      </c>
      <c r="H37" s="4">
        <v>45473</v>
      </c>
      <c r="I37" s="3">
        <v>449.58</v>
      </c>
      <c r="J37" s="20">
        <f ca="1">NOW()</f>
        <v>46142.372622106479</v>
      </c>
    </row>
    <row r="38" spans="1:10" ht="29.4" thickBot="1" x14ac:dyDescent="0.35">
      <c r="A38" s="2" t="s">
        <v>30</v>
      </c>
      <c r="B38" s="2" t="s">
        <v>66</v>
      </c>
      <c r="C38" s="2" t="s">
        <v>18</v>
      </c>
      <c r="D38" s="2" t="s">
        <v>12</v>
      </c>
      <c r="E38" s="3">
        <v>1231.26</v>
      </c>
      <c r="F38" s="3">
        <v>9</v>
      </c>
      <c r="G38" s="3">
        <v>0</v>
      </c>
      <c r="H38" s="4">
        <v>45646</v>
      </c>
      <c r="I38" s="3">
        <v>492.5</v>
      </c>
      <c r="J38" s="20">
        <f ca="1">NOW()</f>
        <v>46142.372622106479</v>
      </c>
    </row>
    <row r="39" spans="1:10" ht="29.4" thickBot="1" x14ac:dyDescent="0.35">
      <c r="A39" s="2" t="s">
        <v>30</v>
      </c>
      <c r="B39" s="2" t="s">
        <v>61</v>
      </c>
      <c r="C39" s="2" t="s">
        <v>24</v>
      </c>
      <c r="D39" s="2" t="s">
        <v>27</v>
      </c>
      <c r="E39" s="3">
        <v>1227.25</v>
      </c>
      <c r="F39" s="3">
        <v>12</v>
      </c>
      <c r="G39" s="3">
        <v>0.15</v>
      </c>
      <c r="H39" s="4">
        <v>45448</v>
      </c>
      <c r="I39" s="3">
        <v>365.11</v>
      </c>
      <c r="J39" s="20">
        <f ca="1">NOW()</f>
        <v>46142.372622106479</v>
      </c>
    </row>
    <row r="40" spans="1:10" ht="29.4" thickBot="1" x14ac:dyDescent="0.35">
      <c r="A40" s="2" t="s">
        <v>58</v>
      </c>
      <c r="B40" s="2" t="s">
        <v>23</v>
      </c>
      <c r="C40" s="2" t="s">
        <v>20</v>
      </c>
      <c r="D40" s="2" t="s">
        <v>15</v>
      </c>
      <c r="E40" s="3">
        <v>1226.6199999999999</v>
      </c>
      <c r="F40" s="3">
        <v>7</v>
      </c>
      <c r="G40" s="3">
        <v>0.1</v>
      </c>
      <c r="H40" s="4">
        <v>45463</v>
      </c>
      <c r="I40" s="3">
        <v>551.98</v>
      </c>
      <c r="J40" s="20">
        <f ca="1">NOW()</f>
        <v>46142.372622106479</v>
      </c>
    </row>
    <row r="41" spans="1:10" ht="29.4" thickBot="1" x14ac:dyDescent="0.35">
      <c r="A41" s="2" t="s">
        <v>54</v>
      </c>
      <c r="B41" s="2" t="s">
        <v>56</v>
      </c>
      <c r="C41" s="2" t="s">
        <v>34</v>
      </c>
      <c r="D41" s="2" t="s">
        <v>39</v>
      </c>
      <c r="E41" s="3">
        <v>1225.42</v>
      </c>
      <c r="F41" s="3">
        <v>8</v>
      </c>
      <c r="G41" s="3">
        <v>0.15</v>
      </c>
      <c r="H41" s="4">
        <v>45449</v>
      </c>
      <c r="I41" s="3">
        <v>468.72</v>
      </c>
      <c r="J41" s="20">
        <f ca="1">NOW()</f>
        <v>46142.372622106479</v>
      </c>
    </row>
    <row r="42" spans="1:10" ht="29.4" thickBot="1" x14ac:dyDescent="0.35">
      <c r="A42" s="2" t="s">
        <v>13</v>
      </c>
      <c r="B42" s="2" t="s">
        <v>29</v>
      </c>
      <c r="C42" s="2" t="s">
        <v>11</v>
      </c>
      <c r="D42" s="2" t="s">
        <v>21</v>
      </c>
      <c r="E42" s="3">
        <v>1215.26</v>
      </c>
      <c r="F42" s="3">
        <v>5</v>
      </c>
      <c r="G42" s="3">
        <v>0.15</v>
      </c>
      <c r="H42" s="4">
        <v>45513</v>
      </c>
      <c r="I42" s="3">
        <v>258.24</v>
      </c>
      <c r="J42" s="20">
        <f ca="1">NOW()</f>
        <v>46142.372622106479</v>
      </c>
    </row>
    <row r="43" spans="1:10" ht="29.4" thickBot="1" x14ac:dyDescent="0.35">
      <c r="A43" s="2" t="s">
        <v>63</v>
      </c>
      <c r="B43" s="2" t="s">
        <v>61</v>
      </c>
      <c r="C43" s="2" t="s">
        <v>18</v>
      </c>
      <c r="D43" s="2" t="s">
        <v>12</v>
      </c>
      <c r="E43" s="3">
        <v>1213.48</v>
      </c>
      <c r="F43" s="3">
        <v>5</v>
      </c>
      <c r="G43" s="3">
        <v>0.05</v>
      </c>
      <c r="H43" s="4">
        <v>45616</v>
      </c>
      <c r="I43" s="3">
        <v>461.12</v>
      </c>
      <c r="J43" s="20">
        <f ca="1">NOW()</f>
        <v>46142.372622106479</v>
      </c>
    </row>
    <row r="44" spans="1:10" ht="29.4" thickBot="1" x14ac:dyDescent="0.35">
      <c r="A44" s="2" t="s">
        <v>57</v>
      </c>
      <c r="B44" s="2" t="s">
        <v>23</v>
      </c>
      <c r="C44" s="2" t="s">
        <v>24</v>
      </c>
      <c r="D44" s="2" t="s">
        <v>15</v>
      </c>
      <c r="E44" s="3">
        <v>1205.82</v>
      </c>
      <c r="F44" s="3">
        <v>11</v>
      </c>
      <c r="G44" s="3">
        <v>0.1</v>
      </c>
      <c r="H44" s="4">
        <v>45559</v>
      </c>
      <c r="I44" s="3">
        <v>542.62</v>
      </c>
      <c r="J44" s="20">
        <f ca="1">NOW()</f>
        <v>46142.372622106479</v>
      </c>
    </row>
    <row r="45" spans="1:10" ht="29.4" thickBot="1" x14ac:dyDescent="0.35">
      <c r="A45" s="2" t="s">
        <v>58</v>
      </c>
      <c r="B45" s="2" t="s">
        <v>53</v>
      </c>
      <c r="C45" s="2" t="s">
        <v>24</v>
      </c>
      <c r="D45" s="2" t="s">
        <v>39</v>
      </c>
      <c r="E45" s="3">
        <v>1200.9000000000001</v>
      </c>
      <c r="F45" s="3">
        <v>14</v>
      </c>
      <c r="G45" s="3">
        <v>0.05</v>
      </c>
      <c r="H45" s="4">
        <v>45429</v>
      </c>
      <c r="I45" s="3">
        <v>513.38</v>
      </c>
      <c r="J45" s="20">
        <f ca="1">NOW()</f>
        <v>46142.372622106479</v>
      </c>
    </row>
    <row r="46" spans="1:10" ht="29.4" thickBot="1" x14ac:dyDescent="0.35">
      <c r="A46" s="2" t="s">
        <v>46</v>
      </c>
      <c r="B46" s="2" t="s">
        <v>71</v>
      </c>
      <c r="C46" s="2" t="s">
        <v>11</v>
      </c>
      <c r="D46" s="2" t="s">
        <v>27</v>
      </c>
      <c r="E46" s="3">
        <v>1193.6099999999999</v>
      </c>
      <c r="F46" s="3">
        <v>1</v>
      </c>
      <c r="G46" s="3">
        <v>0.15</v>
      </c>
      <c r="H46" s="4">
        <v>45584</v>
      </c>
      <c r="I46" s="3">
        <v>355.1</v>
      </c>
      <c r="J46" s="20">
        <f ca="1">NOW()</f>
        <v>46142.372622106479</v>
      </c>
    </row>
    <row r="47" spans="1:10" ht="29.4" thickBot="1" x14ac:dyDescent="0.35">
      <c r="A47" s="2" t="s">
        <v>25</v>
      </c>
      <c r="B47" s="2" t="s">
        <v>26</v>
      </c>
      <c r="C47" s="2" t="s">
        <v>34</v>
      </c>
      <c r="D47" s="2" t="s">
        <v>12</v>
      </c>
      <c r="E47" s="3">
        <v>1191.58</v>
      </c>
      <c r="F47" s="3">
        <v>14</v>
      </c>
      <c r="G47" s="3">
        <v>10</v>
      </c>
      <c r="H47" s="4">
        <v>45406</v>
      </c>
      <c r="I47" s="3">
        <v>452.8</v>
      </c>
      <c r="J47" s="20">
        <f ca="1">NOW()</f>
        <v>46142.372622106479</v>
      </c>
    </row>
    <row r="48" spans="1:10" ht="29.4" thickBot="1" x14ac:dyDescent="0.35">
      <c r="A48" s="2" t="s">
        <v>32</v>
      </c>
      <c r="B48" s="2" t="s">
        <v>31</v>
      </c>
      <c r="C48" s="2" t="s">
        <v>24</v>
      </c>
      <c r="D48" s="2" t="s">
        <v>12</v>
      </c>
      <c r="E48" s="3">
        <v>1189.83</v>
      </c>
      <c r="F48" s="3">
        <v>2</v>
      </c>
      <c r="G48" s="3">
        <v>0.2</v>
      </c>
      <c r="H48" s="4">
        <v>45709</v>
      </c>
      <c r="I48" s="3">
        <v>380.75</v>
      </c>
      <c r="J48" s="20">
        <f ca="1">NOW()</f>
        <v>46142.372622106479</v>
      </c>
    </row>
    <row r="49" spans="1:10" ht="29.4" thickBot="1" x14ac:dyDescent="0.35">
      <c r="A49" s="2" t="s">
        <v>57</v>
      </c>
      <c r="B49" s="2" t="s">
        <v>26</v>
      </c>
      <c r="C49" s="2" t="s">
        <v>18</v>
      </c>
      <c r="D49" s="2" t="s">
        <v>27</v>
      </c>
      <c r="E49" s="3">
        <v>1186.8499999999999</v>
      </c>
      <c r="F49" s="3">
        <v>19</v>
      </c>
      <c r="G49" s="3">
        <v>0.2</v>
      </c>
      <c r="H49" s="4">
        <v>45451</v>
      </c>
      <c r="I49" s="3">
        <v>332.32</v>
      </c>
      <c r="J49" s="20">
        <f ca="1">NOW()</f>
        <v>46142.372622106479</v>
      </c>
    </row>
    <row r="50" spans="1:10" ht="29.4" thickBot="1" x14ac:dyDescent="0.35">
      <c r="A50" s="2" t="s">
        <v>32</v>
      </c>
      <c r="B50" s="2" t="s">
        <v>26</v>
      </c>
      <c r="C50" s="2" t="s">
        <v>20</v>
      </c>
      <c r="D50" s="2" t="s">
        <v>27</v>
      </c>
      <c r="E50" s="3">
        <v>1184.25</v>
      </c>
      <c r="F50" s="3">
        <v>11</v>
      </c>
      <c r="G50" s="3">
        <v>0.2</v>
      </c>
      <c r="H50" s="4">
        <v>45742</v>
      </c>
      <c r="I50" s="3">
        <v>331.59</v>
      </c>
      <c r="J50" s="20">
        <f ca="1">NOW()</f>
        <v>46142.372622106479</v>
      </c>
    </row>
    <row r="51" spans="1:10" ht="29.4" thickBot="1" x14ac:dyDescent="0.35">
      <c r="A51" s="2" t="s">
        <v>35</v>
      </c>
      <c r="B51" s="2" t="s">
        <v>50</v>
      </c>
      <c r="C51" s="2" t="s">
        <v>20</v>
      </c>
      <c r="D51" s="2" t="s">
        <v>21</v>
      </c>
      <c r="E51" s="3">
        <v>1173.1199999999999</v>
      </c>
      <c r="F51" s="3">
        <v>18</v>
      </c>
      <c r="G51" s="3">
        <v>10</v>
      </c>
      <c r="H51" s="4">
        <v>45418</v>
      </c>
      <c r="I51" s="3">
        <v>293.27999999999997</v>
      </c>
      <c r="J51" s="20">
        <f ca="1">NOW()</f>
        <v>46142.372622106479</v>
      </c>
    </row>
    <row r="52" spans="1:10" ht="29.4" thickBot="1" x14ac:dyDescent="0.35">
      <c r="A52" s="2" t="s">
        <v>41</v>
      </c>
      <c r="B52" s="2" t="s">
        <v>61</v>
      </c>
      <c r="C52" s="2" t="s">
        <v>11</v>
      </c>
      <c r="D52" s="2" t="s">
        <v>27</v>
      </c>
      <c r="E52" s="3">
        <v>1172.97</v>
      </c>
      <c r="F52" s="3">
        <v>7</v>
      </c>
      <c r="G52" s="3">
        <v>0.15</v>
      </c>
      <c r="H52" s="4">
        <v>45559</v>
      </c>
      <c r="I52" s="3">
        <v>348.96</v>
      </c>
      <c r="J52" s="20">
        <f ca="1">NOW()</f>
        <v>46142.372622106479</v>
      </c>
    </row>
    <row r="53" spans="1:10" ht="29.4" thickBot="1" x14ac:dyDescent="0.35">
      <c r="A53" s="2" t="s">
        <v>73</v>
      </c>
      <c r="B53" s="2" t="s">
        <v>59</v>
      </c>
      <c r="C53" s="2" t="s">
        <v>24</v>
      </c>
      <c r="D53" s="2" t="s">
        <v>15</v>
      </c>
      <c r="E53" s="3">
        <v>1171.18</v>
      </c>
      <c r="F53" s="3">
        <v>19</v>
      </c>
      <c r="G53" s="3">
        <v>0.05</v>
      </c>
      <c r="H53" s="4">
        <v>45667</v>
      </c>
      <c r="I53" s="3">
        <v>556.30999999999995</v>
      </c>
      <c r="J53" s="20">
        <f ca="1">NOW()</f>
        <v>46142.372622106479</v>
      </c>
    </row>
    <row r="54" spans="1:10" ht="29.4" thickBot="1" x14ac:dyDescent="0.35">
      <c r="A54" s="2" t="s">
        <v>58</v>
      </c>
      <c r="B54" s="2" t="s">
        <v>36</v>
      </c>
      <c r="C54" s="2" t="s">
        <v>11</v>
      </c>
      <c r="D54" s="2" t="s">
        <v>15</v>
      </c>
      <c r="E54" s="3">
        <v>1168.8900000000001</v>
      </c>
      <c r="F54" s="3">
        <v>4</v>
      </c>
      <c r="G54" s="3">
        <v>0.1</v>
      </c>
      <c r="H54" s="4">
        <v>45544</v>
      </c>
      <c r="I54" s="3">
        <v>526</v>
      </c>
      <c r="J54" s="20">
        <f ca="1">NOW()</f>
        <v>46142.372622106479</v>
      </c>
    </row>
    <row r="55" spans="1:10" ht="29.4" thickBot="1" x14ac:dyDescent="0.35">
      <c r="A55" s="2" t="s">
        <v>52</v>
      </c>
      <c r="B55" s="2" t="s">
        <v>50</v>
      </c>
      <c r="C55" s="2" t="s">
        <v>20</v>
      </c>
      <c r="D55" s="2" t="s">
        <v>15</v>
      </c>
      <c r="E55" s="3">
        <v>1163.01</v>
      </c>
      <c r="F55" s="3">
        <v>5</v>
      </c>
      <c r="G55" s="3">
        <v>0</v>
      </c>
      <c r="H55" s="4">
        <v>45611</v>
      </c>
      <c r="I55" s="3">
        <v>581.5</v>
      </c>
      <c r="J55" s="20">
        <f ca="1">NOW()</f>
        <v>46142.372622106479</v>
      </c>
    </row>
    <row r="56" spans="1:10" ht="29.4" thickBot="1" x14ac:dyDescent="0.35">
      <c r="A56" s="2" t="s">
        <v>30</v>
      </c>
      <c r="B56" s="2" t="s">
        <v>43</v>
      </c>
      <c r="C56" s="2" t="s">
        <v>11</v>
      </c>
      <c r="D56" s="2" t="s">
        <v>21</v>
      </c>
      <c r="E56" s="3">
        <v>1161.67</v>
      </c>
      <c r="F56" s="3">
        <v>19</v>
      </c>
      <c r="G56" s="3">
        <v>0.2</v>
      </c>
      <c r="H56" s="4">
        <v>45647</v>
      </c>
      <c r="I56" s="3">
        <v>232.33</v>
      </c>
      <c r="J56" s="20">
        <f ca="1">NOW()</f>
        <v>46142.372622106479</v>
      </c>
    </row>
    <row r="57" spans="1:10" ht="29.4" thickBot="1" x14ac:dyDescent="0.35">
      <c r="A57" s="2" t="s">
        <v>67</v>
      </c>
      <c r="B57" s="2" t="s">
        <v>23</v>
      </c>
      <c r="C57" s="2" t="s">
        <v>11</v>
      </c>
      <c r="D57" s="2" t="s">
        <v>21</v>
      </c>
      <c r="E57" s="3">
        <v>1158.94</v>
      </c>
      <c r="F57" s="3">
        <v>19</v>
      </c>
      <c r="G57" s="3">
        <v>0.2</v>
      </c>
      <c r="H57" s="4">
        <v>45553</v>
      </c>
      <c r="I57" s="3">
        <v>231.79</v>
      </c>
      <c r="J57" s="20">
        <f ca="1">NOW()</f>
        <v>46142.372622106479</v>
      </c>
    </row>
    <row r="58" spans="1:10" ht="29.4" thickBot="1" x14ac:dyDescent="0.35">
      <c r="A58" s="2" t="s">
        <v>40</v>
      </c>
      <c r="B58" s="2" t="s">
        <v>23</v>
      </c>
      <c r="C58" s="2" t="s">
        <v>18</v>
      </c>
      <c r="D58" s="2" t="s">
        <v>39</v>
      </c>
      <c r="E58" s="3">
        <v>1154.33</v>
      </c>
      <c r="F58" s="3">
        <v>11</v>
      </c>
      <c r="G58" s="3">
        <v>0.15</v>
      </c>
      <c r="H58" s="4">
        <v>45549</v>
      </c>
      <c r="I58" s="3">
        <v>441.53</v>
      </c>
      <c r="J58" s="20">
        <f ca="1">NOW()</f>
        <v>46142.372622106479</v>
      </c>
    </row>
    <row r="59" spans="1:10" ht="29.4" thickBot="1" x14ac:dyDescent="0.35">
      <c r="A59" s="2" t="s">
        <v>19</v>
      </c>
      <c r="B59" s="2" t="s">
        <v>42</v>
      </c>
      <c r="C59" s="2" t="s">
        <v>20</v>
      </c>
      <c r="D59" s="2" t="s">
        <v>12</v>
      </c>
      <c r="E59" s="3">
        <v>1151.21</v>
      </c>
      <c r="F59" s="3">
        <v>15</v>
      </c>
      <c r="G59" s="3">
        <v>0.1</v>
      </c>
      <c r="H59" s="4">
        <v>45445</v>
      </c>
      <c r="I59" s="3">
        <v>414.44</v>
      </c>
      <c r="J59" s="20">
        <f ca="1">NOW()</f>
        <v>46142.372622106479</v>
      </c>
    </row>
    <row r="60" spans="1:10" ht="29.4" thickBot="1" x14ac:dyDescent="0.35">
      <c r="A60" s="2" t="s">
        <v>57</v>
      </c>
      <c r="B60" s="2" t="s">
        <v>38</v>
      </c>
      <c r="C60" s="2" t="s">
        <v>34</v>
      </c>
      <c r="D60" s="2" t="s">
        <v>12</v>
      </c>
      <c r="E60" s="3">
        <v>1150.28</v>
      </c>
      <c r="F60" s="3">
        <v>8</v>
      </c>
      <c r="G60" s="3">
        <v>0.05</v>
      </c>
      <c r="H60" s="4">
        <v>45622</v>
      </c>
      <c r="I60" s="3">
        <v>437.11</v>
      </c>
      <c r="J60" s="20">
        <f ca="1">NOW()</f>
        <v>46142.372622106479</v>
      </c>
    </row>
    <row r="61" spans="1:10" ht="29.4" thickBot="1" x14ac:dyDescent="0.35">
      <c r="A61" s="2" t="s">
        <v>68</v>
      </c>
      <c r="B61" s="2" t="s">
        <v>33</v>
      </c>
      <c r="C61" s="2" t="s">
        <v>18</v>
      </c>
      <c r="D61" s="2" t="s">
        <v>27</v>
      </c>
      <c r="E61" s="3">
        <v>1143.69</v>
      </c>
      <c r="F61" s="3">
        <v>17</v>
      </c>
      <c r="G61" s="3">
        <v>0</v>
      </c>
      <c r="H61" s="4">
        <v>45534</v>
      </c>
      <c r="I61" s="3">
        <v>400.29</v>
      </c>
      <c r="J61" s="20">
        <f ca="1">NOW()</f>
        <v>46142.372622106479</v>
      </c>
    </row>
    <row r="62" spans="1:10" ht="29.4" thickBot="1" x14ac:dyDescent="0.35">
      <c r="A62" s="2" t="s">
        <v>40</v>
      </c>
      <c r="B62" s="2" t="s">
        <v>17</v>
      </c>
      <c r="C62" s="2" t="s">
        <v>20</v>
      </c>
      <c r="D62" s="2" t="s">
        <v>15</v>
      </c>
      <c r="E62" s="3">
        <v>1118.3399999999999</v>
      </c>
      <c r="F62" s="3">
        <v>6</v>
      </c>
      <c r="G62" s="3">
        <v>0.2</v>
      </c>
      <c r="H62" s="4">
        <v>45674</v>
      </c>
      <c r="I62" s="3">
        <v>447.34</v>
      </c>
      <c r="J62" s="20">
        <f ca="1">NOW()</f>
        <v>46142.372622106479</v>
      </c>
    </row>
    <row r="63" spans="1:10" ht="29.4" thickBot="1" x14ac:dyDescent="0.35">
      <c r="A63" s="2" t="s">
        <v>52</v>
      </c>
      <c r="B63" s="2" t="s">
        <v>23</v>
      </c>
      <c r="C63" s="2" t="s">
        <v>11</v>
      </c>
      <c r="D63" s="2" t="s">
        <v>21</v>
      </c>
      <c r="E63" s="3">
        <v>1115.22</v>
      </c>
      <c r="F63" s="3">
        <v>14</v>
      </c>
      <c r="G63" s="3">
        <v>0.2</v>
      </c>
      <c r="H63" s="4">
        <v>45705</v>
      </c>
      <c r="I63" s="3">
        <v>223.04</v>
      </c>
      <c r="J63" s="20">
        <f ca="1">NOW()</f>
        <v>46142.372622106479</v>
      </c>
    </row>
    <row r="64" spans="1:10" ht="29.4" thickBot="1" x14ac:dyDescent="0.35">
      <c r="A64" s="2" t="s">
        <v>30</v>
      </c>
      <c r="B64" s="2" t="s">
        <v>29</v>
      </c>
      <c r="C64" s="2" t="s">
        <v>11</v>
      </c>
      <c r="D64" s="2" t="s">
        <v>39</v>
      </c>
      <c r="E64" s="3">
        <v>1111.3399999999999</v>
      </c>
      <c r="F64" s="3">
        <v>1</v>
      </c>
      <c r="G64" s="3">
        <v>0</v>
      </c>
      <c r="H64" s="4">
        <v>45523</v>
      </c>
      <c r="I64" s="3">
        <v>500.1</v>
      </c>
      <c r="J64" s="20">
        <f ca="1">NOW()</f>
        <v>46142.372622106479</v>
      </c>
    </row>
    <row r="65" spans="1:10" ht="29.4" thickBot="1" x14ac:dyDescent="0.35">
      <c r="A65" s="2" t="s">
        <v>22</v>
      </c>
      <c r="B65" s="2" t="s">
        <v>31</v>
      </c>
      <c r="C65" s="2" t="s">
        <v>18</v>
      </c>
      <c r="D65" s="2" t="s">
        <v>15</v>
      </c>
      <c r="E65" s="3">
        <v>1109.98</v>
      </c>
      <c r="F65" s="3">
        <v>5</v>
      </c>
      <c r="G65" s="3">
        <v>0.2</v>
      </c>
      <c r="H65" s="4">
        <v>45690</v>
      </c>
      <c r="I65" s="3">
        <v>443.99</v>
      </c>
      <c r="J65" s="20">
        <f ca="1">NOW()</f>
        <v>46142.372622106479</v>
      </c>
    </row>
    <row r="66" spans="1:10" ht="29.4" thickBot="1" x14ac:dyDescent="0.35">
      <c r="A66" s="2" t="s">
        <v>25</v>
      </c>
      <c r="B66" s="2" t="s">
        <v>66</v>
      </c>
      <c r="C66" s="2" t="s">
        <v>11</v>
      </c>
      <c r="D66" s="2" t="s">
        <v>27</v>
      </c>
      <c r="E66" s="3">
        <v>1101.55</v>
      </c>
      <c r="F66" s="3">
        <v>4</v>
      </c>
      <c r="G66" s="3">
        <v>0.1</v>
      </c>
      <c r="H66" s="4">
        <v>45551</v>
      </c>
      <c r="I66" s="3">
        <v>346.99</v>
      </c>
      <c r="J66" s="20">
        <f ca="1">NOW()</f>
        <v>46142.372622106479</v>
      </c>
    </row>
    <row r="67" spans="1:10" ht="29.4" thickBot="1" x14ac:dyDescent="0.35">
      <c r="A67" s="2" t="s">
        <v>13</v>
      </c>
      <c r="B67" s="2" t="s">
        <v>14</v>
      </c>
      <c r="C67" s="2" t="s">
        <v>11</v>
      </c>
      <c r="D67" s="2" t="s">
        <v>15</v>
      </c>
      <c r="E67" s="3">
        <v>1101.28</v>
      </c>
      <c r="F67" s="3">
        <v>3</v>
      </c>
      <c r="G67" s="3">
        <v>10</v>
      </c>
      <c r="H67" s="4">
        <v>45393</v>
      </c>
      <c r="I67" s="3">
        <v>440.51</v>
      </c>
      <c r="J67" s="20">
        <f ca="1">NOW()</f>
        <v>46142.372622106479</v>
      </c>
    </row>
    <row r="68" spans="1:10" ht="29.4" thickBot="1" x14ac:dyDescent="0.35">
      <c r="A68" s="2" t="s">
        <v>41</v>
      </c>
      <c r="B68" s="2" t="s">
        <v>61</v>
      </c>
      <c r="C68" s="2" t="s">
        <v>20</v>
      </c>
      <c r="D68" s="2" t="s">
        <v>21</v>
      </c>
      <c r="E68" s="3">
        <v>1100.0999999999999</v>
      </c>
      <c r="F68" s="3">
        <v>5</v>
      </c>
      <c r="G68" s="3">
        <v>0.05</v>
      </c>
      <c r="H68" s="4">
        <v>45482</v>
      </c>
      <c r="I68" s="3">
        <v>261.27</v>
      </c>
      <c r="J68" s="20">
        <f ca="1">NOW()</f>
        <v>46142.372622106479</v>
      </c>
    </row>
    <row r="69" spans="1:10" ht="29.4" thickBot="1" x14ac:dyDescent="0.35">
      <c r="A69" s="2" t="s">
        <v>72</v>
      </c>
      <c r="B69" s="2" t="s">
        <v>29</v>
      </c>
      <c r="C69" s="2" t="s">
        <v>18</v>
      </c>
      <c r="D69" s="2" t="s">
        <v>12</v>
      </c>
      <c r="E69" s="3">
        <v>1099.69</v>
      </c>
      <c r="F69" s="3">
        <v>6</v>
      </c>
      <c r="G69" s="3">
        <v>0</v>
      </c>
      <c r="H69" s="4">
        <v>45718</v>
      </c>
      <c r="I69" s="3">
        <v>439.88</v>
      </c>
      <c r="J69" s="20">
        <f ca="1">NOW()</f>
        <v>46142.372622106479</v>
      </c>
    </row>
    <row r="70" spans="1:10" ht="29.4" thickBot="1" x14ac:dyDescent="0.35">
      <c r="A70" s="2" t="s">
        <v>58</v>
      </c>
      <c r="B70" s="2" t="s">
        <v>45</v>
      </c>
      <c r="C70" s="2" t="s">
        <v>18</v>
      </c>
      <c r="D70" s="2" t="s">
        <v>12</v>
      </c>
      <c r="E70" s="3">
        <v>1098.08</v>
      </c>
      <c r="F70" s="3">
        <v>9</v>
      </c>
      <c r="G70" s="3">
        <v>0.1</v>
      </c>
      <c r="H70" s="4">
        <v>45692</v>
      </c>
      <c r="I70" s="3">
        <v>395.31</v>
      </c>
      <c r="J70" s="20">
        <f ca="1">NOW()</f>
        <v>46142.372622106479</v>
      </c>
    </row>
    <row r="71" spans="1:10" ht="29.4" thickBot="1" x14ac:dyDescent="0.35">
      <c r="A71" s="2" t="s">
        <v>44</v>
      </c>
      <c r="B71" s="2" t="s">
        <v>61</v>
      </c>
      <c r="C71" s="2" t="s">
        <v>18</v>
      </c>
      <c r="D71" s="2" t="s">
        <v>27</v>
      </c>
      <c r="E71" s="3">
        <v>1093.3800000000001</v>
      </c>
      <c r="F71" s="3">
        <v>17</v>
      </c>
      <c r="G71" s="3">
        <v>0.1</v>
      </c>
      <c r="H71" s="4">
        <v>45745</v>
      </c>
      <c r="I71" s="3">
        <v>344.41</v>
      </c>
      <c r="J71" s="20">
        <f ca="1">NOW()</f>
        <v>46142.372622106479</v>
      </c>
    </row>
    <row r="72" spans="1:10" ht="29.4" thickBot="1" x14ac:dyDescent="0.35">
      <c r="A72" s="2" t="s">
        <v>22</v>
      </c>
      <c r="B72" s="2" t="s">
        <v>64</v>
      </c>
      <c r="C72" s="2" t="s">
        <v>20</v>
      </c>
      <c r="D72" s="2" t="s">
        <v>27</v>
      </c>
      <c r="E72" s="3">
        <v>1086.93</v>
      </c>
      <c r="F72" s="3">
        <v>2</v>
      </c>
      <c r="G72" s="3">
        <v>0</v>
      </c>
      <c r="H72" s="4">
        <v>45464</v>
      </c>
      <c r="I72" s="3">
        <v>380.43</v>
      </c>
      <c r="J72" s="20">
        <f ca="1">NOW()</f>
        <v>46142.372622106479</v>
      </c>
    </row>
    <row r="73" spans="1:10" ht="29.4" thickBot="1" x14ac:dyDescent="0.35">
      <c r="A73" s="2" t="s">
        <v>44</v>
      </c>
      <c r="B73" s="2" t="s">
        <v>23</v>
      </c>
      <c r="C73" s="2" t="s">
        <v>18</v>
      </c>
      <c r="D73" s="2" t="s">
        <v>12</v>
      </c>
      <c r="E73" s="3">
        <v>1081.1400000000001</v>
      </c>
      <c r="F73" s="3">
        <v>19</v>
      </c>
      <c r="G73" s="3">
        <v>0.15</v>
      </c>
      <c r="H73" s="4">
        <v>45577</v>
      </c>
      <c r="I73" s="3">
        <v>367.59</v>
      </c>
      <c r="J73" s="20">
        <f ca="1">NOW()</f>
        <v>46142.372622106479</v>
      </c>
    </row>
    <row r="74" spans="1:10" ht="29.4" thickBot="1" x14ac:dyDescent="0.35">
      <c r="A74" s="2" t="s">
        <v>28</v>
      </c>
      <c r="B74" s="2" t="s">
        <v>45</v>
      </c>
      <c r="C74" s="2" t="s">
        <v>24</v>
      </c>
      <c r="D74" s="2" t="s">
        <v>27</v>
      </c>
      <c r="E74" s="3">
        <v>1077.92</v>
      </c>
      <c r="F74" s="3">
        <v>3</v>
      </c>
      <c r="G74" s="3">
        <v>0.05</v>
      </c>
      <c r="H74" s="4">
        <v>45608</v>
      </c>
      <c r="I74" s="3">
        <v>358.41</v>
      </c>
      <c r="J74" s="20">
        <f ca="1">NOW()</f>
        <v>46142.372622106479</v>
      </c>
    </row>
    <row r="75" spans="1:10" ht="29.4" thickBot="1" x14ac:dyDescent="0.35">
      <c r="A75" s="2" t="s">
        <v>44</v>
      </c>
      <c r="B75" s="2" t="s">
        <v>45</v>
      </c>
      <c r="C75" s="2" t="s">
        <v>34</v>
      </c>
      <c r="D75" s="2" t="s">
        <v>15</v>
      </c>
      <c r="E75" s="3">
        <v>1076.33</v>
      </c>
      <c r="F75" s="3">
        <v>2</v>
      </c>
      <c r="G75" s="3">
        <v>0.1</v>
      </c>
      <c r="H75" s="4">
        <v>45674</v>
      </c>
      <c r="I75" s="3">
        <v>484.35</v>
      </c>
      <c r="J75" s="20">
        <f ca="1">NOW()</f>
        <v>46142.372622106479</v>
      </c>
    </row>
    <row r="76" spans="1:10" ht="29.4" thickBot="1" x14ac:dyDescent="0.35">
      <c r="A76" s="2" t="s">
        <v>30</v>
      </c>
      <c r="B76" s="2" t="s">
        <v>31</v>
      </c>
      <c r="C76" s="2" t="s">
        <v>18</v>
      </c>
      <c r="D76" s="2" t="s">
        <v>27</v>
      </c>
      <c r="E76" s="3">
        <v>1074.47</v>
      </c>
      <c r="F76" s="3">
        <v>6</v>
      </c>
      <c r="G76" s="3">
        <v>10</v>
      </c>
      <c r="H76" s="4">
        <v>45401</v>
      </c>
      <c r="I76" s="3">
        <v>300.85000000000002</v>
      </c>
      <c r="J76" s="20">
        <f ca="1">NOW()</f>
        <v>46142.372622106479</v>
      </c>
    </row>
    <row r="77" spans="1:10" ht="15" thickBot="1" x14ac:dyDescent="0.35">
      <c r="A77" s="2" t="s">
        <v>19</v>
      </c>
      <c r="B77" s="2" t="s">
        <v>48</v>
      </c>
      <c r="C77" s="2" t="s">
        <v>34</v>
      </c>
      <c r="D77" s="2" t="s">
        <v>12</v>
      </c>
      <c r="E77" s="3">
        <v>1070.68</v>
      </c>
      <c r="F77" s="3">
        <v>7</v>
      </c>
      <c r="G77" s="3">
        <v>0.05</v>
      </c>
      <c r="H77" s="4">
        <v>45536</v>
      </c>
      <c r="I77" s="3">
        <v>406.86</v>
      </c>
      <c r="J77" s="20">
        <f ca="1">NOW()</f>
        <v>46142.372622106479</v>
      </c>
    </row>
    <row r="78" spans="1:10" ht="29.4" thickBot="1" x14ac:dyDescent="0.35">
      <c r="A78" s="2" t="s">
        <v>37</v>
      </c>
      <c r="B78" s="2" t="s">
        <v>38</v>
      </c>
      <c r="C78" s="2" t="s">
        <v>20</v>
      </c>
      <c r="D78" s="2" t="s">
        <v>12</v>
      </c>
      <c r="E78" s="3">
        <v>1064.19</v>
      </c>
      <c r="F78" s="3">
        <v>18</v>
      </c>
      <c r="G78" s="3">
        <v>0.05</v>
      </c>
      <c r="H78" s="4">
        <v>45725</v>
      </c>
      <c r="I78" s="3">
        <v>404.39</v>
      </c>
      <c r="J78" s="20">
        <f ca="1">NOW()</f>
        <v>46142.372622106479</v>
      </c>
    </row>
    <row r="79" spans="1:10" ht="29.4" thickBot="1" x14ac:dyDescent="0.35">
      <c r="A79" s="2" t="s">
        <v>75</v>
      </c>
      <c r="B79" s="2" t="s">
        <v>45</v>
      </c>
      <c r="C79" s="2" t="s">
        <v>20</v>
      </c>
      <c r="D79" s="2" t="s">
        <v>21</v>
      </c>
      <c r="E79" s="3">
        <v>1061.04</v>
      </c>
      <c r="F79" s="3">
        <v>1</v>
      </c>
      <c r="G79" s="3">
        <v>0</v>
      </c>
      <c r="H79" s="4">
        <v>45624</v>
      </c>
      <c r="I79" s="3">
        <v>265.26</v>
      </c>
      <c r="J79" s="20">
        <f ca="1">NOW()</f>
        <v>46142.372622106479</v>
      </c>
    </row>
    <row r="80" spans="1:10" ht="29.4" thickBot="1" x14ac:dyDescent="0.35">
      <c r="A80" s="2" t="s">
        <v>58</v>
      </c>
      <c r="B80" s="2" t="s">
        <v>14</v>
      </c>
      <c r="C80" s="2" t="s">
        <v>20</v>
      </c>
      <c r="D80" s="2" t="s">
        <v>27</v>
      </c>
      <c r="E80" s="3">
        <v>1054.56</v>
      </c>
      <c r="F80" s="3">
        <v>11</v>
      </c>
      <c r="G80" s="3">
        <v>0.1</v>
      </c>
      <c r="H80" s="4">
        <v>45669</v>
      </c>
      <c r="I80" s="3">
        <v>332.19</v>
      </c>
      <c r="J80" s="20">
        <f ca="1">NOW()</f>
        <v>46142.372622106479</v>
      </c>
    </row>
    <row r="81" spans="1:10" ht="29.4" thickBot="1" x14ac:dyDescent="0.35">
      <c r="A81" s="2" t="s">
        <v>9</v>
      </c>
      <c r="B81" s="2" t="s">
        <v>10</v>
      </c>
      <c r="C81" s="2" t="s">
        <v>11</v>
      </c>
      <c r="D81" s="2" t="s">
        <v>12</v>
      </c>
      <c r="E81" s="3">
        <v>1036.0899999999999</v>
      </c>
      <c r="F81" s="3">
        <v>4</v>
      </c>
      <c r="G81" s="3">
        <v>10</v>
      </c>
      <c r="H81" s="4">
        <v>45392</v>
      </c>
      <c r="I81" s="3">
        <v>331.55</v>
      </c>
      <c r="J81" s="20">
        <f ca="1">NOW()</f>
        <v>46142.372622106479</v>
      </c>
    </row>
    <row r="82" spans="1:10" ht="29.4" thickBot="1" x14ac:dyDescent="0.35">
      <c r="A82" s="2" t="s">
        <v>67</v>
      </c>
      <c r="B82" s="2" t="s">
        <v>23</v>
      </c>
      <c r="C82" s="2" t="s">
        <v>24</v>
      </c>
      <c r="D82" s="2" t="s">
        <v>27</v>
      </c>
      <c r="E82" s="3">
        <v>1034.7</v>
      </c>
      <c r="F82" s="3">
        <v>15</v>
      </c>
      <c r="G82" s="3">
        <v>0.15</v>
      </c>
      <c r="H82" s="4">
        <v>45487</v>
      </c>
      <c r="I82" s="3">
        <v>307.82</v>
      </c>
      <c r="J82" s="20">
        <f ca="1">NOW()</f>
        <v>46142.372622106479</v>
      </c>
    </row>
    <row r="83" spans="1:10" ht="29.4" thickBot="1" x14ac:dyDescent="0.35">
      <c r="A83" s="2" t="s">
        <v>30</v>
      </c>
      <c r="B83" s="2" t="s">
        <v>55</v>
      </c>
      <c r="C83" s="2" t="s">
        <v>11</v>
      </c>
      <c r="D83" s="2" t="s">
        <v>21</v>
      </c>
      <c r="E83" s="3">
        <v>1029.8</v>
      </c>
      <c r="F83" s="3">
        <v>3</v>
      </c>
      <c r="G83" s="3">
        <v>0</v>
      </c>
      <c r="H83" s="4">
        <v>45708</v>
      </c>
      <c r="I83" s="3">
        <v>257.45</v>
      </c>
      <c r="J83" s="20">
        <f ca="1">NOW()</f>
        <v>46142.372622106479</v>
      </c>
    </row>
    <row r="84" spans="1:10" ht="29.4" thickBot="1" x14ac:dyDescent="0.35">
      <c r="A84" s="2" t="s">
        <v>52</v>
      </c>
      <c r="B84" s="2" t="s">
        <v>23</v>
      </c>
      <c r="C84" s="2" t="s">
        <v>34</v>
      </c>
      <c r="D84" s="2" t="s">
        <v>39</v>
      </c>
      <c r="E84" s="3">
        <v>1025.98</v>
      </c>
      <c r="F84" s="3">
        <v>5</v>
      </c>
      <c r="G84" s="3">
        <v>0.2</v>
      </c>
      <c r="H84" s="4">
        <v>45447</v>
      </c>
      <c r="I84" s="3">
        <v>369.35</v>
      </c>
      <c r="J84" s="20">
        <f ca="1">NOW()</f>
        <v>46142.372622106479</v>
      </c>
    </row>
    <row r="85" spans="1:10" ht="29.4" thickBot="1" x14ac:dyDescent="0.35">
      <c r="A85" s="2" t="s">
        <v>49</v>
      </c>
      <c r="B85" s="2" t="s">
        <v>56</v>
      </c>
      <c r="C85" s="2" t="s">
        <v>34</v>
      </c>
      <c r="D85" s="2" t="s">
        <v>12</v>
      </c>
      <c r="E85" s="3">
        <v>1023.21</v>
      </c>
      <c r="F85" s="3">
        <v>18</v>
      </c>
      <c r="G85" s="3">
        <v>0.05</v>
      </c>
      <c r="H85" s="4">
        <v>45428</v>
      </c>
      <c r="I85" s="3">
        <v>388.82</v>
      </c>
      <c r="J85" s="20">
        <f ca="1">NOW()</f>
        <v>46142.372622106479</v>
      </c>
    </row>
    <row r="86" spans="1:10" ht="29.4" thickBot="1" x14ac:dyDescent="0.35">
      <c r="A86" s="2" t="s">
        <v>16</v>
      </c>
      <c r="B86" s="2" t="s">
        <v>31</v>
      </c>
      <c r="C86" s="2" t="s">
        <v>34</v>
      </c>
      <c r="D86" s="2" t="s">
        <v>15</v>
      </c>
      <c r="E86" s="3">
        <v>1022.23</v>
      </c>
      <c r="F86" s="3">
        <v>8</v>
      </c>
      <c r="G86" s="3">
        <v>0.1</v>
      </c>
      <c r="H86" s="4">
        <v>45717</v>
      </c>
      <c r="I86" s="3">
        <v>460</v>
      </c>
      <c r="J86" s="20">
        <f ca="1">NOW()</f>
        <v>46142.372622106479</v>
      </c>
    </row>
    <row r="87" spans="1:10" ht="29.4" thickBot="1" x14ac:dyDescent="0.35">
      <c r="A87" s="2" t="s">
        <v>25</v>
      </c>
      <c r="B87" s="2" t="s">
        <v>33</v>
      </c>
      <c r="C87" s="2" t="s">
        <v>20</v>
      </c>
      <c r="D87" s="2" t="s">
        <v>21</v>
      </c>
      <c r="E87" s="3">
        <v>1021.47</v>
      </c>
      <c r="F87" s="3">
        <v>6</v>
      </c>
      <c r="G87" s="3">
        <v>0.05</v>
      </c>
      <c r="H87" s="4">
        <v>45461</v>
      </c>
      <c r="I87" s="3">
        <v>242.6</v>
      </c>
      <c r="J87" s="20">
        <f ca="1">NOW()</f>
        <v>46142.372622106479</v>
      </c>
    </row>
    <row r="88" spans="1:10" ht="29.4" thickBot="1" x14ac:dyDescent="0.35">
      <c r="A88" s="2" t="s">
        <v>57</v>
      </c>
      <c r="B88" s="2" t="s">
        <v>47</v>
      </c>
      <c r="C88" s="2" t="s">
        <v>24</v>
      </c>
      <c r="D88" s="2" t="s">
        <v>21</v>
      </c>
      <c r="E88" s="3">
        <v>1020.26</v>
      </c>
      <c r="F88" s="3">
        <v>11</v>
      </c>
      <c r="G88" s="3">
        <v>0.05</v>
      </c>
      <c r="H88" s="4">
        <v>45494</v>
      </c>
      <c r="I88" s="3">
        <v>242.31</v>
      </c>
      <c r="J88" s="20">
        <f ca="1">NOW()</f>
        <v>46142.372622106479</v>
      </c>
    </row>
    <row r="89" spans="1:10" ht="29.4" thickBot="1" x14ac:dyDescent="0.35">
      <c r="A89" s="2" t="s">
        <v>54</v>
      </c>
      <c r="B89" s="2" t="s">
        <v>45</v>
      </c>
      <c r="C89" s="2" t="s">
        <v>18</v>
      </c>
      <c r="D89" s="2" t="s">
        <v>39</v>
      </c>
      <c r="E89" s="3">
        <v>1014.56</v>
      </c>
      <c r="F89" s="3">
        <v>10</v>
      </c>
      <c r="G89" s="3">
        <v>0.1</v>
      </c>
      <c r="H89" s="4">
        <v>45612</v>
      </c>
      <c r="I89" s="3">
        <v>410.9</v>
      </c>
      <c r="J89" s="20">
        <f ca="1">NOW()</f>
        <v>46142.372622106479</v>
      </c>
    </row>
    <row r="90" spans="1:10" ht="29.4" thickBot="1" x14ac:dyDescent="0.35">
      <c r="A90" s="2" t="s">
        <v>73</v>
      </c>
      <c r="B90" s="2" t="s">
        <v>53</v>
      </c>
      <c r="C90" s="2" t="s">
        <v>34</v>
      </c>
      <c r="D90" s="2" t="s">
        <v>12</v>
      </c>
      <c r="E90" s="3">
        <v>1014.43</v>
      </c>
      <c r="F90" s="3">
        <v>2</v>
      </c>
      <c r="G90" s="3">
        <v>0.15</v>
      </c>
      <c r="H90" s="4">
        <v>45713</v>
      </c>
      <c r="I90" s="3">
        <v>344.91</v>
      </c>
      <c r="J90" s="20">
        <f ca="1">NOW()</f>
        <v>46142.372622106479</v>
      </c>
    </row>
    <row r="91" spans="1:10" ht="29.4" thickBot="1" x14ac:dyDescent="0.35">
      <c r="A91" s="2" t="s">
        <v>44</v>
      </c>
      <c r="B91" s="2" t="s">
        <v>23</v>
      </c>
      <c r="C91" s="2" t="s">
        <v>18</v>
      </c>
      <c r="D91" s="2" t="s">
        <v>39</v>
      </c>
      <c r="E91" s="3">
        <v>1014.22</v>
      </c>
      <c r="F91" s="3">
        <v>14</v>
      </c>
      <c r="G91" s="3">
        <v>0.05</v>
      </c>
      <c r="H91" s="4">
        <v>45599</v>
      </c>
      <c r="I91" s="3">
        <v>433.58</v>
      </c>
      <c r="J91" s="20">
        <f ca="1">NOW()</f>
        <v>46142.372622106479</v>
      </c>
    </row>
    <row r="92" spans="1:10" ht="29.4" thickBot="1" x14ac:dyDescent="0.35">
      <c r="A92" s="2" t="s">
        <v>44</v>
      </c>
      <c r="B92" s="2" t="s">
        <v>56</v>
      </c>
      <c r="C92" s="2" t="s">
        <v>34</v>
      </c>
      <c r="D92" s="2" t="s">
        <v>21</v>
      </c>
      <c r="E92" s="3">
        <v>1014.09</v>
      </c>
      <c r="F92" s="3">
        <v>13</v>
      </c>
      <c r="G92" s="3">
        <v>0.2</v>
      </c>
      <c r="H92" s="4">
        <v>45567</v>
      </c>
      <c r="I92" s="3">
        <v>202.82</v>
      </c>
      <c r="J92" s="20">
        <f ca="1">NOW()</f>
        <v>46142.372622106479</v>
      </c>
    </row>
    <row r="93" spans="1:10" ht="15" thickBot="1" x14ac:dyDescent="0.35">
      <c r="A93" s="2" t="s">
        <v>54</v>
      </c>
      <c r="B93" s="2" t="s">
        <v>48</v>
      </c>
      <c r="C93" s="2" t="s">
        <v>18</v>
      </c>
      <c r="D93" s="2" t="s">
        <v>12</v>
      </c>
      <c r="E93" s="3">
        <v>1010.58</v>
      </c>
      <c r="F93" s="3">
        <v>2</v>
      </c>
      <c r="G93" s="3">
        <v>0.15</v>
      </c>
      <c r="H93" s="4">
        <v>45605</v>
      </c>
      <c r="I93" s="3">
        <v>343.6</v>
      </c>
      <c r="J93" s="20">
        <f ca="1">NOW()</f>
        <v>46142.372622106479</v>
      </c>
    </row>
    <row r="94" spans="1:10" ht="29.4" thickBot="1" x14ac:dyDescent="0.35">
      <c r="A94" s="2" t="s">
        <v>67</v>
      </c>
      <c r="B94" s="2" t="s">
        <v>10</v>
      </c>
      <c r="C94" s="2" t="s">
        <v>11</v>
      </c>
      <c r="D94" s="2" t="s">
        <v>21</v>
      </c>
      <c r="E94" s="3">
        <v>1005.53</v>
      </c>
      <c r="F94" s="3">
        <v>17</v>
      </c>
      <c r="G94" s="3">
        <v>0.2</v>
      </c>
      <c r="H94" s="4">
        <v>45481</v>
      </c>
      <c r="I94" s="3">
        <v>201.11</v>
      </c>
      <c r="J94" s="20">
        <f ca="1">NOW()</f>
        <v>46142.372622106479</v>
      </c>
    </row>
    <row r="95" spans="1:10" ht="29.4" thickBot="1" x14ac:dyDescent="0.35">
      <c r="A95" s="2" t="s">
        <v>63</v>
      </c>
      <c r="B95" s="2" t="s">
        <v>31</v>
      </c>
      <c r="C95" s="2" t="s">
        <v>24</v>
      </c>
      <c r="D95" s="2" t="s">
        <v>39</v>
      </c>
      <c r="E95" s="3">
        <v>1001.57</v>
      </c>
      <c r="F95" s="3">
        <v>12</v>
      </c>
      <c r="G95" s="3">
        <v>0</v>
      </c>
      <c r="H95" s="4">
        <v>45450</v>
      </c>
      <c r="I95" s="3">
        <v>450.71</v>
      </c>
      <c r="J95" s="20">
        <f ca="1">NOW()</f>
        <v>46142.372622106479</v>
      </c>
    </row>
    <row r="96" spans="1:10" ht="29.4" thickBot="1" x14ac:dyDescent="0.35">
      <c r="A96" s="2" t="s">
        <v>35</v>
      </c>
      <c r="B96" s="2" t="s">
        <v>36</v>
      </c>
      <c r="C96" s="2" t="s">
        <v>18</v>
      </c>
      <c r="D96" s="2" t="s">
        <v>12</v>
      </c>
      <c r="E96" s="3">
        <v>997.61</v>
      </c>
      <c r="F96" s="3">
        <v>8</v>
      </c>
      <c r="G96" s="3">
        <v>0.05</v>
      </c>
      <c r="H96" s="4">
        <v>45752</v>
      </c>
      <c r="I96" s="3">
        <v>379.09</v>
      </c>
      <c r="J96" s="20">
        <f ca="1">NOW()</f>
        <v>46142.372622106479</v>
      </c>
    </row>
    <row r="97" spans="1:10" ht="29.4" thickBot="1" x14ac:dyDescent="0.35">
      <c r="A97" s="2" t="s">
        <v>60</v>
      </c>
      <c r="B97" s="2" t="s">
        <v>26</v>
      </c>
      <c r="C97" s="2" t="s">
        <v>24</v>
      </c>
      <c r="D97" s="2" t="s">
        <v>15</v>
      </c>
      <c r="E97" s="3">
        <v>990.19</v>
      </c>
      <c r="F97" s="3">
        <v>8</v>
      </c>
      <c r="G97" s="3">
        <v>0.1</v>
      </c>
      <c r="H97" s="4">
        <v>45565</v>
      </c>
      <c r="I97" s="3">
        <v>445.59</v>
      </c>
      <c r="J97" s="20">
        <f ca="1">NOW()</f>
        <v>46142.372622106479</v>
      </c>
    </row>
    <row r="98" spans="1:10" ht="29.4" thickBot="1" x14ac:dyDescent="0.35">
      <c r="A98" s="2" t="s">
        <v>57</v>
      </c>
      <c r="B98" s="2" t="s">
        <v>55</v>
      </c>
      <c r="C98" s="2" t="s">
        <v>11</v>
      </c>
      <c r="D98" s="2" t="s">
        <v>27</v>
      </c>
      <c r="E98" s="3">
        <v>984.93</v>
      </c>
      <c r="F98" s="3">
        <v>14</v>
      </c>
      <c r="G98" s="3">
        <v>0.2</v>
      </c>
      <c r="H98" s="4">
        <v>45733</v>
      </c>
      <c r="I98" s="3">
        <v>275.77999999999997</v>
      </c>
      <c r="J98" s="20">
        <f ca="1">NOW()</f>
        <v>46142.372622106479</v>
      </c>
    </row>
    <row r="99" spans="1:10" ht="29.4" thickBot="1" x14ac:dyDescent="0.35">
      <c r="A99" s="2" t="s">
        <v>52</v>
      </c>
      <c r="B99" s="2" t="s">
        <v>53</v>
      </c>
      <c r="C99" s="2" t="s">
        <v>18</v>
      </c>
      <c r="D99" s="2" t="s">
        <v>39</v>
      </c>
      <c r="E99" s="3">
        <v>983.34</v>
      </c>
      <c r="F99" s="3">
        <v>19</v>
      </c>
      <c r="G99" s="3">
        <v>10</v>
      </c>
      <c r="H99" s="4">
        <v>45426</v>
      </c>
      <c r="I99" s="3">
        <v>398.25</v>
      </c>
      <c r="J99" s="20">
        <f ca="1">NOW()</f>
        <v>46142.372622106479</v>
      </c>
    </row>
    <row r="100" spans="1:10" ht="29.4" thickBot="1" x14ac:dyDescent="0.35">
      <c r="A100" s="2" t="s">
        <v>68</v>
      </c>
      <c r="B100" s="2" t="s">
        <v>69</v>
      </c>
      <c r="C100" s="2" t="s">
        <v>20</v>
      </c>
      <c r="D100" s="2" t="s">
        <v>39</v>
      </c>
      <c r="E100" s="3">
        <v>981.2</v>
      </c>
      <c r="F100" s="3">
        <v>19</v>
      </c>
      <c r="G100" s="3">
        <v>0</v>
      </c>
      <c r="H100" s="4">
        <v>45504</v>
      </c>
      <c r="I100" s="3">
        <v>441.54</v>
      </c>
      <c r="J100" s="20">
        <f ca="1">NOW()</f>
        <v>46142.372622106479</v>
      </c>
    </row>
    <row r="101" spans="1:10" ht="29.4" thickBot="1" x14ac:dyDescent="0.35">
      <c r="A101" s="2" t="s">
        <v>70</v>
      </c>
      <c r="B101" s="2" t="s">
        <v>66</v>
      </c>
      <c r="C101" s="2" t="s">
        <v>18</v>
      </c>
      <c r="D101" s="2" t="s">
        <v>12</v>
      </c>
      <c r="E101" s="3">
        <v>980.18</v>
      </c>
      <c r="F101" s="3">
        <v>16</v>
      </c>
      <c r="G101" s="3">
        <v>0.1</v>
      </c>
      <c r="H101" s="4">
        <v>45582</v>
      </c>
      <c r="I101" s="3">
        <v>352.86</v>
      </c>
      <c r="J101" s="20">
        <f ca="1">NOW()</f>
        <v>46142.372622106479</v>
      </c>
    </row>
    <row r="102" spans="1:10" ht="29.4" thickBot="1" x14ac:dyDescent="0.35">
      <c r="A102" s="2" t="s">
        <v>22</v>
      </c>
      <c r="B102" s="2" t="s">
        <v>66</v>
      </c>
      <c r="C102" s="2" t="s">
        <v>34</v>
      </c>
      <c r="D102" s="2" t="s">
        <v>12</v>
      </c>
      <c r="E102" s="3">
        <v>973.26</v>
      </c>
      <c r="F102" s="3">
        <v>11</v>
      </c>
      <c r="G102" s="3">
        <v>0</v>
      </c>
      <c r="H102" s="4">
        <v>45470</v>
      </c>
      <c r="I102" s="3">
        <v>389.3</v>
      </c>
      <c r="J102" s="20">
        <f ca="1">NOW()</f>
        <v>46142.372622106479</v>
      </c>
    </row>
    <row r="103" spans="1:10" ht="29.4" thickBot="1" x14ac:dyDescent="0.35">
      <c r="A103" s="2" t="s">
        <v>57</v>
      </c>
      <c r="B103" s="2" t="s">
        <v>43</v>
      </c>
      <c r="C103" s="2" t="s">
        <v>20</v>
      </c>
      <c r="D103" s="2" t="s">
        <v>21</v>
      </c>
      <c r="E103" s="3">
        <v>967.89</v>
      </c>
      <c r="F103" s="3">
        <v>10</v>
      </c>
      <c r="G103" s="3">
        <v>0.1</v>
      </c>
      <c r="H103" s="4">
        <v>45429</v>
      </c>
      <c r="I103" s="3">
        <v>217.78</v>
      </c>
      <c r="J103" s="20">
        <f ca="1">NOW()</f>
        <v>46142.372622106479</v>
      </c>
    </row>
    <row r="104" spans="1:10" ht="29.4" thickBot="1" x14ac:dyDescent="0.35">
      <c r="A104" s="2" t="s">
        <v>75</v>
      </c>
      <c r="B104" s="2" t="s">
        <v>47</v>
      </c>
      <c r="C104" s="2" t="s">
        <v>20</v>
      </c>
      <c r="D104" s="2" t="s">
        <v>12</v>
      </c>
      <c r="E104" s="3">
        <v>966.3</v>
      </c>
      <c r="F104" s="3">
        <v>2</v>
      </c>
      <c r="G104" s="3">
        <v>0.15</v>
      </c>
      <c r="H104" s="4">
        <v>45557</v>
      </c>
      <c r="I104" s="3">
        <v>328.54</v>
      </c>
      <c r="J104" s="20">
        <f ca="1">NOW()</f>
        <v>46142.372622106479</v>
      </c>
    </row>
    <row r="105" spans="1:10" ht="29.4" thickBot="1" x14ac:dyDescent="0.35">
      <c r="A105" s="2" t="s">
        <v>25</v>
      </c>
      <c r="B105" s="2" t="s">
        <v>26</v>
      </c>
      <c r="C105" s="2" t="s">
        <v>24</v>
      </c>
      <c r="D105" s="2" t="s">
        <v>27</v>
      </c>
      <c r="E105" s="3">
        <v>965.64</v>
      </c>
      <c r="F105" s="3">
        <v>8</v>
      </c>
      <c r="G105" s="3">
        <v>10</v>
      </c>
      <c r="H105" s="4">
        <v>45398</v>
      </c>
      <c r="I105" s="3">
        <v>304.18</v>
      </c>
      <c r="J105" s="20">
        <f ca="1">NOW()</f>
        <v>46142.372622106479</v>
      </c>
    </row>
    <row r="106" spans="1:10" ht="29.4" thickBot="1" x14ac:dyDescent="0.35">
      <c r="A106" s="2" t="s">
        <v>37</v>
      </c>
      <c r="B106" s="2" t="s">
        <v>64</v>
      </c>
      <c r="C106" s="2" t="s">
        <v>20</v>
      </c>
      <c r="D106" s="2" t="s">
        <v>12</v>
      </c>
      <c r="E106" s="3">
        <v>961.62</v>
      </c>
      <c r="F106" s="3">
        <v>8</v>
      </c>
      <c r="G106" s="3">
        <v>0.2</v>
      </c>
      <c r="H106" s="4">
        <v>45577</v>
      </c>
      <c r="I106" s="3">
        <v>307.72000000000003</v>
      </c>
      <c r="J106" s="20">
        <f ca="1">NOW()</f>
        <v>46142.372622106479</v>
      </c>
    </row>
    <row r="107" spans="1:10" ht="29.4" thickBot="1" x14ac:dyDescent="0.35">
      <c r="A107" s="2" t="s">
        <v>30</v>
      </c>
      <c r="B107" s="2" t="s">
        <v>59</v>
      </c>
      <c r="C107" s="2" t="s">
        <v>24</v>
      </c>
      <c r="D107" s="2" t="s">
        <v>27</v>
      </c>
      <c r="E107" s="3">
        <v>957.29</v>
      </c>
      <c r="F107" s="3">
        <v>4</v>
      </c>
      <c r="G107" s="3">
        <v>0.05</v>
      </c>
      <c r="H107" s="4">
        <v>45605</v>
      </c>
      <c r="I107" s="3">
        <v>318.3</v>
      </c>
      <c r="J107" s="20">
        <f ca="1">NOW()</f>
        <v>46142.372622106479</v>
      </c>
    </row>
    <row r="108" spans="1:10" ht="15" thickBot="1" x14ac:dyDescent="0.35">
      <c r="A108" s="2" t="s">
        <v>25</v>
      </c>
      <c r="B108" s="2" t="s">
        <v>48</v>
      </c>
      <c r="C108" s="2" t="s">
        <v>20</v>
      </c>
      <c r="D108" s="2" t="s">
        <v>15</v>
      </c>
      <c r="E108" s="3">
        <v>953.3</v>
      </c>
      <c r="F108" s="3">
        <v>11</v>
      </c>
      <c r="G108" s="3">
        <v>10</v>
      </c>
      <c r="H108" s="4">
        <v>45415</v>
      </c>
      <c r="I108" s="3">
        <v>476.65</v>
      </c>
      <c r="J108" s="20">
        <f ca="1">NOW()</f>
        <v>46142.372622106479</v>
      </c>
    </row>
    <row r="109" spans="1:10" ht="15" thickBot="1" x14ac:dyDescent="0.35">
      <c r="A109" s="2" t="s">
        <v>65</v>
      </c>
      <c r="B109" s="2" t="s">
        <v>48</v>
      </c>
      <c r="C109" s="2" t="s">
        <v>11</v>
      </c>
      <c r="D109" s="2" t="s">
        <v>12</v>
      </c>
      <c r="E109" s="3">
        <v>942.9</v>
      </c>
      <c r="F109" s="3">
        <v>18</v>
      </c>
      <c r="G109" s="3">
        <v>0.1</v>
      </c>
      <c r="H109" s="4">
        <v>45466</v>
      </c>
      <c r="I109" s="3">
        <v>339.44</v>
      </c>
      <c r="J109" s="20">
        <f ca="1">NOW()</f>
        <v>46142.372622106479</v>
      </c>
    </row>
    <row r="110" spans="1:10" ht="29.4" thickBot="1" x14ac:dyDescent="0.35">
      <c r="A110" s="2" t="s">
        <v>25</v>
      </c>
      <c r="B110" s="2" t="s">
        <v>14</v>
      </c>
      <c r="C110" s="2" t="s">
        <v>34</v>
      </c>
      <c r="D110" s="2" t="s">
        <v>12</v>
      </c>
      <c r="E110" s="3">
        <v>939.09</v>
      </c>
      <c r="F110" s="3">
        <v>2</v>
      </c>
      <c r="G110" s="3">
        <v>10</v>
      </c>
      <c r="H110" s="4">
        <v>45422</v>
      </c>
      <c r="I110" s="3">
        <v>356.85</v>
      </c>
      <c r="J110" s="20">
        <f ca="1">NOW()</f>
        <v>46142.372622106479</v>
      </c>
    </row>
    <row r="111" spans="1:10" ht="29.4" thickBot="1" x14ac:dyDescent="0.35">
      <c r="A111" s="2" t="s">
        <v>37</v>
      </c>
      <c r="B111" s="2" t="s">
        <v>43</v>
      </c>
      <c r="C111" s="2" t="s">
        <v>11</v>
      </c>
      <c r="D111" s="2" t="s">
        <v>15</v>
      </c>
      <c r="E111" s="3">
        <v>934.27</v>
      </c>
      <c r="F111" s="3">
        <v>8</v>
      </c>
      <c r="G111" s="3">
        <v>0.15</v>
      </c>
      <c r="H111" s="4">
        <v>45746</v>
      </c>
      <c r="I111" s="3">
        <v>397.06</v>
      </c>
      <c r="J111" s="20">
        <f ca="1">NOW()</f>
        <v>46142.372622106479</v>
      </c>
    </row>
    <row r="112" spans="1:10" ht="29.4" thickBot="1" x14ac:dyDescent="0.35">
      <c r="A112" s="2" t="s">
        <v>30</v>
      </c>
      <c r="B112" s="2" t="s">
        <v>31</v>
      </c>
      <c r="C112" s="2" t="s">
        <v>18</v>
      </c>
      <c r="D112" s="2" t="s">
        <v>27</v>
      </c>
      <c r="E112" s="3">
        <v>933.71</v>
      </c>
      <c r="F112" s="3">
        <v>17</v>
      </c>
      <c r="G112" s="3">
        <v>0.1</v>
      </c>
      <c r="H112" s="4">
        <v>45481</v>
      </c>
      <c r="I112" s="3">
        <v>294.12</v>
      </c>
      <c r="J112" s="20">
        <f ca="1">NOW()</f>
        <v>46142.372622106479</v>
      </c>
    </row>
    <row r="113" spans="1:10" ht="29.4" thickBot="1" x14ac:dyDescent="0.35">
      <c r="A113" s="2" t="s">
        <v>60</v>
      </c>
      <c r="B113" s="2" t="s">
        <v>36</v>
      </c>
      <c r="C113" s="2" t="s">
        <v>20</v>
      </c>
      <c r="D113" s="2" t="s">
        <v>15</v>
      </c>
      <c r="E113" s="3">
        <v>928.32</v>
      </c>
      <c r="F113" s="3">
        <v>2</v>
      </c>
      <c r="G113" s="3">
        <v>0.05</v>
      </c>
      <c r="H113" s="4">
        <v>45754</v>
      </c>
      <c r="I113" s="3">
        <v>440.95</v>
      </c>
      <c r="J113" s="20">
        <f ca="1">NOW()</f>
        <v>46142.372622106479</v>
      </c>
    </row>
    <row r="114" spans="1:10" ht="29.4" thickBot="1" x14ac:dyDescent="0.35">
      <c r="A114" s="2" t="s">
        <v>13</v>
      </c>
      <c r="B114" s="2" t="s">
        <v>31</v>
      </c>
      <c r="C114" s="2" t="s">
        <v>34</v>
      </c>
      <c r="D114" s="2" t="s">
        <v>39</v>
      </c>
      <c r="E114" s="3">
        <v>925.31</v>
      </c>
      <c r="F114" s="3">
        <v>8</v>
      </c>
      <c r="G114" s="3">
        <v>10</v>
      </c>
      <c r="H114" s="4">
        <v>45418</v>
      </c>
      <c r="I114" s="3">
        <v>374.75</v>
      </c>
      <c r="J114" s="20">
        <f ca="1">NOW()</f>
        <v>46142.372622106479</v>
      </c>
    </row>
    <row r="115" spans="1:10" ht="29.4" thickBot="1" x14ac:dyDescent="0.35">
      <c r="A115" s="2" t="s">
        <v>13</v>
      </c>
      <c r="B115" s="2" t="s">
        <v>48</v>
      </c>
      <c r="C115" s="2" t="s">
        <v>24</v>
      </c>
      <c r="D115" s="2" t="s">
        <v>21</v>
      </c>
      <c r="E115" s="3">
        <v>925.29</v>
      </c>
      <c r="F115" s="3">
        <v>17</v>
      </c>
      <c r="G115" s="3">
        <v>0</v>
      </c>
      <c r="H115" s="4">
        <v>45570</v>
      </c>
      <c r="I115" s="3">
        <v>231.32</v>
      </c>
      <c r="J115" s="20">
        <f ca="1">NOW()</f>
        <v>46142.372622106479</v>
      </c>
    </row>
    <row r="116" spans="1:10" ht="29.4" thickBot="1" x14ac:dyDescent="0.35">
      <c r="A116" s="2" t="s">
        <v>41</v>
      </c>
      <c r="B116" s="2" t="s">
        <v>45</v>
      </c>
      <c r="C116" s="2" t="s">
        <v>18</v>
      </c>
      <c r="D116" s="2" t="s">
        <v>21</v>
      </c>
      <c r="E116" s="3">
        <v>919.18</v>
      </c>
      <c r="F116" s="3">
        <v>4</v>
      </c>
      <c r="G116" s="3">
        <v>0.15</v>
      </c>
      <c r="H116" s="4">
        <v>45615</v>
      </c>
      <c r="I116" s="3">
        <v>195.33</v>
      </c>
      <c r="J116" s="20">
        <f ca="1">NOW()</f>
        <v>46142.372622106479</v>
      </c>
    </row>
    <row r="117" spans="1:10" ht="29.4" thickBot="1" x14ac:dyDescent="0.35">
      <c r="A117" s="2" t="s">
        <v>19</v>
      </c>
      <c r="B117" s="2" t="s">
        <v>14</v>
      </c>
      <c r="C117" s="2" t="s">
        <v>20</v>
      </c>
      <c r="D117" s="2" t="s">
        <v>27</v>
      </c>
      <c r="E117" s="3">
        <v>919.04</v>
      </c>
      <c r="F117" s="3">
        <v>10</v>
      </c>
      <c r="G117" s="3">
        <v>0.2</v>
      </c>
      <c r="H117" s="4">
        <v>45468</v>
      </c>
      <c r="I117" s="3">
        <v>257.33</v>
      </c>
      <c r="J117" s="20">
        <f ca="1">NOW()</f>
        <v>46142.372622106479</v>
      </c>
    </row>
    <row r="118" spans="1:10" ht="29.4" thickBot="1" x14ac:dyDescent="0.35">
      <c r="A118" s="2" t="s">
        <v>68</v>
      </c>
      <c r="B118" s="2" t="s">
        <v>17</v>
      </c>
      <c r="C118" s="2" t="s">
        <v>20</v>
      </c>
      <c r="D118" s="2" t="s">
        <v>12</v>
      </c>
      <c r="E118" s="3">
        <v>917.48</v>
      </c>
      <c r="F118" s="3">
        <v>6</v>
      </c>
      <c r="G118" s="3">
        <v>0</v>
      </c>
      <c r="H118" s="4">
        <v>45558</v>
      </c>
      <c r="I118" s="3">
        <v>366.99</v>
      </c>
      <c r="J118" s="20">
        <f ca="1">NOW()</f>
        <v>46142.372622106479</v>
      </c>
    </row>
    <row r="119" spans="1:10" ht="29.4" thickBot="1" x14ac:dyDescent="0.35">
      <c r="A119" s="2" t="s">
        <v>67</v>
      </c>
      <c r="B119" s="2" t="s">
        <v>23</v>
      </c>
      <c r="C119" s="2" t="s">
        <v>34</v>
      </c>
      <c r="D119" s="2" t="s">
        <v>15</v>
      </c>
      <c r="E119" s="3">
        <v>902.19</v>
      </c>
      <c r="F119" s="3">
        <v>12</v>
      </c>
      <c r="G119" s="3">
        <v>0</v>
      </c>
      <c r="H119" s="4">
        <v>45564</v>
      </c>
      <c r="I119" s="3">
        <v>451.1</v>
      </c>
      <c r="J119" s="20">
        <f ca="1">NOW()</f>
        <v>46142.372622106479</v>
      </c>
    </row>
    <row r="120" spans="1:10" ht="29.4" thickBot="1" x14ac:dyDescent="0.35">
      <c r="A120" s="2" t="s">
        <v>28</v>
      </c>
      <c r="B120" s="2" t="s">
        <v>43</v>
      </c>
      <c r="C120" s="2" t="s">
        <v>11</v>
      </c>
      <c r="D120" s="2" t="s">
        <v>21</v>
      </c>
      <c r="E120" s="3">
        <v>894.55</v>
      </c>
      <c r="F120" s="3">
        <v>19</v>
      </c>
      <c r="G120" s="3">
        <v>0.2</v>
      </c>
      <c r="H120" s="4">
        <v>45625</v>
      </c>
      <c r="I120" s="3">
        <v>178.91</v>
      </c>
      <c r="J120" s="20">
        <f ca="1">NOW()</f>
        <v>46142.372622106479</v>
      </c>
    </row>
    <row r="121" spans="1:10" ht="29.4" thickBot="1" x14ac:dyDescent="0.35">
      <c r="A121" s="2" t="s">
        <v>63</v>
      </c>
      <c r="B121" s="2" t="s">
        <v>29</v>
      </c>
      <c r="C121" s="2" t="s">
        <v>24</v>
      </c>
      <c r="D121" s="2" t="s">
        <v>12</v>
      </c>
      <c r="E121" s="3">
        <v>884.63</v>
      </c>
      <c r="F121" s="3">
        <v>18</v>
      </c>
      <c r="G121" s="3">
        <v>0.1</v>
      </c>
      <c r="H121" s="4">
        <v>45659</v>
      </c>
      <c r="I121" s="3">
        <v>318.47000000000003</v>
      </c>
      <c r="J121" s="20">
        <f ca="1">NOW()</f>
        <v>46142.372622106479</v>
      </c>
    </row>
    <row r="122" spans="1:10" ht="29.4" thickBot="1" x14ac:dyDescent="0.35">
      <c r="A122" s="2" t="s">
        <v>44</v>
      </c>
      <c r="B122" s="2" t="s">
        <v>14</v>
      </c>
      <c r="C122" s="2" t="s">
        <v>20</v>
      </c>
      <c r="D122" s="2" t="s">
        <v>12</v>
      </c>
      <c r="E122" s="3">
        <v>877.58</v>
      </c>
      <c r="F122" s="3">
        <v>10</v>
      </c>
      <c r="G122" s="3">
        <v>10</v>
      </c>
      <c r="H122" s="4">
        <v>45411</v>
      </c>
      <c r="I122" s="3">
        <v>298.38</v>
      </c>
      <c r="J122" s="20">
        <f ca="1">NOW()</f>
        <v>46142.372622106479</v>
      </c>
    </row>
    <row r="123" spans="1:10" ht="29.4" thickBot="1" x14ac:dyDescent="0.35">
      <c r="A123" s="2" t="s">
        <v>65</v>
      </c>
      <c r="B123" s="2" t="s">
        <v>31</v>
      </c>
      <c r="C123" s="2" t="s">
        <v>20</v>
      </c>
      <c r="D123" s="2" t="s">
        <v>12</v>
      </c>
      <c r="E123" s="3">
        <v>876.44</v>
      </c>
      <c r="F123" s="3">
        <v>12</v>
      </c>
      <c r="G123" s="3">
        <v>0.05</v>
      </c>
      <c r="H123" s="4">
        <v>45488</v>
      </c>
      <c r="I123" s="3">
        <v>333.05</v>
      </c>
      <c r="J123" s="20">
        <f ca="1">NOW()</f>
        <v>46142.372622106479</v>
      </c>
    </row>
    <row r="124" spans="1:10" ht="29.4" thickBot="1" x14ac:dyDescent="0.35">
      <c r="A124" s="2" t="s">
        <v>74</v>
      </c>
      <c r="B124" s="2" t="s">
        <v>38</v>
      </c>
      <c r="C124" s="2" t="s">
        <v>18</v>
      </c>
      <c r="D124" s="2" t="s">
        <v>39</v>
      </c>
      <c r="E124" s="3">
        <v>875.41</v>
      </c>
      <c r="F124" s="3">
        <v>13</v>
      </c>
      <c r="G124" s="3">
        <v>0.15</v>
      </c>
      <c r="H124" s="4">
        <v>45552</v>
      </c>
      <c r="I124" s="3">
        <v>334.84</v>
      </c>
      <c r="J124" s="20">
        <f ca="1">NOW()</f>
        <v>46142.372622106479</v>
      </c>
    </row>
    <row r="125" spans="1:10" ht="29.4" thickBot="1" x14ac:dyDescent="0.35">
      <c r="A125" s="2" t="s">
        <v>40</v>
      </c>
      <c r="B125" s="2" t="s">
        <v>55</v>
      </c>
      <c r="C125" s="2" t="s">
        <v>18</v>
      </c>
      <c r="D125" s="2" t="s">
        <v>27</v>
      </c>
      <c r="E125" s="3">
        <v>873.7</v>
      </c>
      <c r="F125" s="3">
        <v>9</v>
      </c>
      <c r="G125" s="3">
        <v>0</v>
      </c>
      <c r="H125" s="4">
        <v>45546</v>
      </c>
      <c r="I125" s="3">
        <v>305.8</v>
      </c>
      <c r="J125" s="20">
        <f ca="1">NOW()</f>
        <v>46142.372622106479</v>
      </c>
    </row>
    <row r="126" spans="1:10" ht="29.4" thickBot="1" x14ac:dyDescent="0.35">
      <c r="A126" s="2" t="s">
        <v>60</v>
      </c>
      <c r="B126" s="2" t="s">
        <v>17</v>
      </c>
      <c r="C126" s="2" t="s">
        <v>20</v>
      </c>
      <c r="D126" s="2" t="s">
        <v>15</v>
      </c>
      <c r="E126" s="3">
        <v>870.23</v>
      </c>
      <c r="F126" s="3">
        <v>5</v>
      </c>
      <c r="G126" s="3">
        <v>0.05</v>
      </c>
      <c r="H126" s="4">
        <v>45660</v>
      </c>
      <c r="I126" s="3">
        <v>413.36</v>
      </c>
      <c r="J126" s="20">
        <f ca="1">NOW()</f>
        <v>46142.372622106479</v>
      </c>
    </row>
    <row r="127" spans="1:10" ht="29.4" thickBot="1" x14ac:dyDescent="0.35">
      <c r="A127" s="2" t="s">
        <v>41</v>
      </c>
      <c r="B127" s="2" t="s">
        <v>55</v>
      </c>
      <c r="C127" s="2" t="s">
        <v>11</v>
      </c>
      <c r="D127" s="2" t="s">
        <v>15</v>
      </c>
      <c r="E127" s="3">
        <v>864.98</v>
      </c>
      <c r="F127" s="3">
        <v>2</v>
      </c>
      <c r="G127" s="3">
        <v>0.05</v>
      </c>
      <c r="H127" s="4">
        <v>45727</v>
      </c>
      <c r="I127" s="3">
        <v>410.87</v>
      </c>
      <c r="J127" s="20">
        <f ca="1">NOW()</f>
        <v>46142.372622106479</v>
      </c>
    </row>
    <row r="128" spans="1:10" ht="29.4" thickBot="1" x14ac:dyDescent="0.35">
      <c r="A128" s="2" t="s">
        <v>35</v>
      </c>
      <c r="B128" s="2" t="s">
        <v>29</v>
      </c>
      <c r="C128" s="2" t="s">
        <v>11</v>
      </c>
      <c r="D128" s="2" t="s">
        <v>27</v>
      </c>
      <c r="E128" s="3">
        <v>862.19</v>
      </c>
      <c r="F128" s="3">
        <v>18</v>
      </c>
      <c r="G128" s="3">
        <v>0.05</v>
      </c>
      <c r="H128" s="4">
        <v>45663</v>
      </c>
      <c r="I128" s="3">
        <v>286.68</v>
      </c>
      <c r="J128" s="20">
        <f ca="1">NOW()</f>
        <v>46142.372622106479</v>
      </c>
    </row>
    <row r="129" spans="1:10" ht="29.4" thickBot="1" x14ac:dyDescent="0.35">
      <c r="A129" s="2" t="s">
        <v>16</v>
      </c>
      <c r="B129" s="2" t="s">
        <v>62</v>
      </c>
      <c r="C129" s="2" t="s">
        <v>34</v>
      </c>
      <c r="D129" s="2" t="s">
        <v>21</v>
      </c>
      <c r="E129" s="3">
        <v>856.7</v>
      </c>
      <c r="F129" s="3">
        <v>2</v>
      </c>
      <c r="G129" s="3">
        <v>0</v>
      </c>
      <c r="H129" s="4">
        <v>45449</v>
      </c>
      <c r="I129" s="3">
        <v>214.18</v>
      </c>
      <c r="J129" s="20">
        <f ca="1">NOW()</f>
        <v>46142.372622106479</v>
      </c>
    </row>
    <row r="130" spans="1:10" ht="29.4" thickBot="1" x14ac:dyDescent="0.35">
      <c r="A130" s="2" t="s">
        <v>37</v>
      </c>
      <c r="B130" s="2" t="s">
        <v>71</v>
      </c>
      <c r="C130" s="2" t="s">
        <v>20</v>
      </c>
      <c r="D130" s="2" t="s">
        <v>27</v>
      </c>
      <c r="E130" s="3">
        <v>853.86</v>
      </c>
      <c r="F130" s="3">
        <v>8</v>
      </c>
      <c r="G130" s="3">
        <v>0.1</v>
      </c>
      <c r="H130" s="4">
        <v>45622</v>
      </c>
      <c r="I130" s="3">
        <v>268.97000000000003</v>
      </c>
      <c r="J130" s="20">
        <f ca="1">NOW()</f>
        <v>46142.372622106479</v>
      </c>
    </row>
    <row r="131" spans="1:10" ht="29.4" thickBot="1" x14ac:dyDescent="0.35">
      <c r="A131" s="2" t="s">
        <v>28</v>
      </c>
      <c r="B131" s="2" t="s">
        <v>47</v>
      </c>
      <c r="C131" s="2" t="s">
        <v>11</v>
      </c>
      <c r="D131" s="2" t="s">
        <v>27</v>
      </c>
      <c r="E131" s="3">
        <v>853.72</v>
      </c>
      <c r="F131" s="3">
        <v>5</v>
      </c>
      <c r="G131" s="3">
        <v>0.15</v>
      </c>
      <c r="H131" s="4">
        <v>45428</v>
      </c>
      <c r="I131" s="3">
        <v>253.98</v>
      </c>
      <c r="J131" s="20">
        <f ca="1">NOW()</f>
        <v>46142.372622106479</v>
      </c>
    </row>
    <row r="132" spans="1:10" ht="29.4" thickBot="1" x14ac:dyDescent="0.35">
      <c r="A132" s="2" t="s">
        <v>22</v>
      </c>
      <c r="B132" s="2" t="s">
        <v>23</v>
      </c>
      <c r="C132" s="2" t="s">
        <v>24</v>
      </c>
      <c r="D132" s="2" t="s">
        <v>12</v>
      </c>
      <c r="E132" s="3">
        <v>847</v>
      </c>
      <c r="F132" s="3">
        <v>12</v>
      </c>
      <c r="G132" s="3">
        <v>10</v>
      </c>
      <c r="H132" s="4">
        <v>45397</v>
      </c>
      <c r="I132" s="3">
        <v>271.04000000000002</v>
      </c>
      <c r="J132" s="20">
        <f ca="1">NOW()</f>
        <v>46142.372622106479</v>
      </c>
    </row>
    <row r="133" spans="1:10" ht="29.4" thickBot="1" x14ac:dyDescent="0.35">
      <c r="A133" s="2" t="s">
        <v>13</v>
      </c>
      <c r="B133" s="2" t="s">
        <v>45</v>
      </c>
      <c r="C133" s="2" t="s">
        <v>24</v>
      </c>
      <c r="D133" s="2" t="s">
        <v>15</v>
      </c>
      <c r="E133" s="3">
        <v>845.84</v>
      </c>
      <c r="F133" s="3">
        <v>4</v>
      </c>
      <c r="G133" s="3">
        <v>0</v>
      </c>
      <c r="H133" s="4">
        <v>45707</v>
      </c>
      <c r="I133" s="3">
        <v>422.92</v>
      </c>
      <c r="J133" s="20">
        <f ca="1">NOW()</f>
        <v>46142.372622106479</v>
      </c>
    </row>
    <row r="134" spans="1:10" ht="29.4" thickBot="1" x14ac:dyDescent="0.35">
      <c r="A134" s="2" t="s">
        <v>9</v>
      </c>
      <c r="B134" s="2" t="s">
        <v>55</v>
      </c>
      <c r="C134" s="2" t="s">
        <v>18</v>
      </c>
      <c r="D134" s="2" t="s">
        <v>39</v>
      </c>
      <c r="E134" s="3">
        <v>840.92</v>
      </c>
      <c r="F134" s="3">
        <v>9</v>
      </c>
      <c r="G134" s="3">
        <v>0.05</v>
      </c>
      <c r="H134" s="4">
        <v>45429</v>
      </c>
      <c r="I134" s="3">
        <v>359.49</v>
      </c>
      <c r="J134" s="20">
        <f ca="1">NOW()</f>
        <v>46142.372622106479</v>
      </c>
    </row>
    <row r="135" spans="1:10" ht="29.4" thickBot="1" x14ac:dyDescent="0.35">
      <c r="A135" s="2" t="s">
        <v>57</v>
      </c>
      <c r="B135" s="2" t="s">
        <v>23</v>
      </c>
      <c r="C135" s="2" t="s">
        <v>34</v>
      </c>
      <c r="D135" s="2" t="s">
        <v>12</v>
      </c>
      <c r="E135" s="3">
        <v>840.85</v>
      </c>
      <c r="F135" s="3">
        <v>19</v>
      </c>
      <c r="G135" s="3">
        <v>0.1</v>
      </c>
      <c r="H135" s="4">
        <v>45448</v>
      </c>
      <c r="I135" s="3">
        <v>302.70999999999998</v>
      </c>
      <c r="J135" s="20">
        <f ca="1">NOW()</f>
        <v>46142.372622106479</v>
      </c>
    </row>
    <row r="136" spans="1:10" ht="29.4" thickBot="1" x14ac:dyDescent="0.35">
      <c r="A136" s="2" t="s">
        <v>25</v>
      </c>
      <c r="B136" s="2" t="s">
        <v>38</v>
      </c>
      <c r="C136" s="2" t="s">
        <v>24</v>
      </c>
      <c r="D136" s="2" t="s">
        <v>39</v>
      </c>
      <c r="E136" s="3">
        <v>833.91</v>
      </c>
      <c r="F136" s="3">
        <v>3</v>
      </c>
      <c r="G136" s="3">
        <v>0.05</v>
      </c>
      <c r="H136" s="4">
        <v>45626</v>
      </c>
      <c r="I136" s="3">
        <v>356.5</v>
      </c>
      <c r="J136" s="20">
        <f ca="1">NOW()</f>
        <v>46142.372622106479</v>
      </c>
    </row>
    <row r="137" spans="1:10" ht="29.4" thickBot="1" x14ac:dyDescent="0.35">
      <c r="A137" s="2" t="s">
        <v>65</v>
      </c>
      <c r="B137" s="2" t="s">
        <v>48</v>
      </c>
      <c r="C137" s="2" t="s">
        <v>11</v>
      </c>
      <c r="D137" s="2" t="s">
        <v>39</v>
      </c>
      <c r="E137" s="3">
        <v>827.25</v>
      </c>
      <c r="F137" s="3">
        <v>7</v>
      </c>
      <c r="G137" s="3">
        <v>0.1</v>
      </c>
      <c r="H137" s="4">
        <v>45693</v>
      </c>
      <c r="I137" s="3">
        <v>335.04</v>
      </c>
      <c r="J137" s="20">
        <f ca="1">NOW()</f>
        <v>46142.372622106479</v>
      </c>
    </row>
    <row r="138" spans="1:10" ht="29.4" thickBot="1" x14ac:dyDescent="0.35">
      <c r="A138" s="2" t="s">
        <v>75</v>
      </c>
      <c r="B138" s="2" t="s">
        <v>31</v>
      </c>
      <c r="C138" s="2" t="s">
        <v>34</v>
      </c>
      <c r="D138" s="2" t="s">
        <v>15</v>
      </c>
      <c r="E138" s="3">
        <v>826.97</v>
      </c>
      <c r="F138" s="3">
        <v>18</v>
      </c>
      <c r="G138" s="3">
        <v>0.2</v>
      </c>
      <c r="H138" s="4">
        <v>45715</v>
      </c>
      <c r="I138" s="3">
        <v>330.79</v>
      </c>
      <c r="J138" s="20">
        <f ca="1">NOW()</f>
        <v>46142.372622106479</v>
      </c>
    </row>
    <row r="139" spans="1:10" ht="29.4" thickBot="1" x14ac:dyDescent="0.35">
      <c r="A139" s="2" t="s">
        <v>16</v>
      </c>
      <c r="B139" s="2" t="s">
        <v>64</v>
      </c>
      <c r="C139" s="2" t="s">
        <v>11</v>
      </c>
      <c r="D139" s="2" t="s">
        <v>39</v>
      </c>
      <c r="E139" s="3">
        <v>826.93</v>
      </c>
      <c r="F139" s="3">
        <v>10</v>
      </c>
      <c r="G139" s="3">
        <v>0.2</v>
      </c>
      <c r="H139" s="4">
        <v>45564</v>
      </c>
      <c r="I139" s="3">
        <v>297.69</v>
      </c>
      <c r="J139" s="20">
        <f ca="1">NOW()</f>
        <v>46142.372622106479</v>
      </c>
    </row>
    <row r="140" spans="1:10" ht="29.4" thickBot="1" x14ac:dyDescent="0.35">
      <c r="A140" s="2" t="s">
        <v>40</v>
      </c>
      <c r="B140" s="2" t="s">
        <v>14</v>
      </c>
      <c r="C140" s="2" t="s">
        <v>11</v>
      </c>
      <c r="D140" s="2" t="s">
        <v>27</v>
      </c>
      <c r="E140" s="3">
        <v>822.28</v>
      </c>
      <c r="F140" s="3">
        <v>7</v>
      </c>
      <c r="G140" s="3">
        <v>10</v>
      </c>
      <c r="H140" s="4">
        <v>45406</v>
      </c>
      <c r="I140" s="3">
        <v>273.41000000000003</v>
      </c>
      <c r="J140" s="20">
        <f ca="1">NOW()</f>
        <v>46142.372622106479</v>
      </c>
    </row>
    <row r="141" spans="1:10" ht="29.4" thickBot="1" x14ac:dyDescent="0.35">
      <c r="A141" s="2" t="s">
        <v>58</v>
      </c>
      <c r="B141" s="2" t="s">
        <v>71</v>
      </c>
      <c r="C141" s="2" t="s">
        <v>11</v>
      </c>
      <c r="D141" s="2" t="s">
        <v>27</v>
      </c>
      <c r="E141" s="3">
        <v>820.19</v>
      </c>
      <c r="F141" s="3">
        <v>4</v>
      </c>
      <c r="G141" s="3">
        <v>0.2</v>
      </c>
      <c r="H141" s="4">
        <v>45630</v>
      </c>
      <c r="I141" s="3">
        <v>229.65</v>
      </c>
      <c r="J141" s="20">
        <f ca="1">NOW()</f>
        <v>46142.372622106479</v>
      </c>
    </row>
    <row r="142" spans="1:10" ht="29.4" thickBot="1" x14ac:dyDescent="0.35">
      <c r="A142" s="2" t="s">
        <v>32</v>
      </c>
      <c r="B142" s="2" t="s">
        <v>38</v>
      </c>
      <c r="C142" s="2" t="s">
        <v>24</v>
      </c>
      <c r="D142" s="2" t="s">
        <v>21</v>
      </c>
      <c r="E142" s="3">
        <v>818.8</v>
      </c>
      <c r="F142" s="3">
        <v>15</v>
      </c>
      <c r="G142" s="3">
        <v>0.15</v>
      </c>
      <c r="H142" s="4">
        <v>45468</v>
      </c>
      <c r="I142" s="3">
        <v>173.99</v>
      </c>
      <c r="J142" s="20">
        <f ca="1">NOW()</f>
        <v>46142.372622106479</v>
      </c>
    </row>
    <row r="143" spans="1:10" ht="29.4" thickBot="1" x14ac:dyDescent="0.35">
      <c r="A143" s="2" t="s">
        <v>65</v>
      </c>
      <c r="B143" s="2" t="s">
        <v>61</v>
      </c>
      <c r="C143" s="2" t="s">
        <v>20</v>
      </c>
      <c r="D143" s="2" t="s">
        <v>27</v>
      </c>
      <c r="E143" s="3">
        <v>806.03</v>
      </c>
      <c r="F143" s="3">
        <v>19</v>
      </c>
      <c r="G143" s="3">
        <v>0.05</v>
      </c>
      <c r="H143" s="4">
        <v>45638</v>
      </c>
      <c r="I143" s="3">
        <v>268</v>
      </c>
      <c r="J143" s="20">
        <f ca="1">NOW()</f>
        <v>46142.372622106479</v>
      </c>
    </row>
    <row r="144" spans="1:10" ht="29.4" thickBot="1" x14ac:dyDescent="0.35">
      <c r="A144" s="2" t="s">
        <v>44</v>
      </c>
      <c r="B144" s="2" t="s">
        <v>10</v>
      </c>
      <c r="C144" s="2" t="s">
        <v>34</v>
      </c>
      <c r="D144" s="2" t="s">
        <v>39</v>
      </c>
      <c r="E144" s="3">
        <v>804.81</v>
      </c>
      <c r="F144" s="3">
        <v>1</v>
      </c>
      <c r="G144" s="3">
        <v>0.05</v>
      </c>
      <c r="H144" s="4">
        <v>45502</v>
      </c>
      <c r="I144" s="3">
        <v>344.06</v>
      </c>
      <c r="J144" s="20">
        <f ca="1">NOW()</f>
        <v>46142.372622106479</v>
      </c>
    </row>
    <row r="145" spans="1:10" ht="29.4" thickBot="1" x14ac:dyDescent="0.35">
      <c r="A145" s="2" t="s">
        <v>13</v>
      </c>
      <c r="B145" s="2" t="s">
        <v>71</v>
      </c>
      <c r="C145" s="2" t="s">
        <v>20</v>
      </c>
      <c r="D145" s="2" t="s">
        <v>12</v>
      </c>
      <c r="E145" s="3">
        <v>804.45</v>
      </c>
      <c r="F145" s="3">
        <v>5</v>
      </c>
      <c r="G145" s="3">
        <v>0.2</v>
      </c>
      <c r="H145" s="4">
        <v>45509</v>
      </c>
      <c r="I145" s="3">
        <v>257.42</v>
      </c>
      <c r="J145" s="20">
        <f ca="1">NOW()</f>
        <v>46142.372622106479</v>
      </c>
    </row>
    <row r="146" spans="1:10" ht="29.4" thickBot="1" x14ac:dyDescent="0.35">
      <c r="A146" s="2" t="s">
        <v>52</v>
      </c>
      <c r="B146" s="2" t="s">
        <v>23</v>
      </c>
      <c r="C146" s="2" t="s">
        <v>20</v>
      </c>
      <c r="D146" s="2" t="s">
        <v>21</v>
      </c>
      <c r="E146" s="3">
        <v>801.21</v>
      </c>
      <c r="F146" s="3">
        <v>3</v>
      </c>
      <c r="G146" s="3">
        <v>0.2</v>
      </c>
      <c r="H146" s="4">
        <v>45426</v>
      </c>
      <c r="I146" s="3">
        <v>160.24</v>
      </c>
      <c r="J146" s="20">
        <f ca="1">NOW()</f>
        <v>46142.372622106479</v>
      </c>
    </row>
    <row r="147" spans="1:10" ht="29.4" thickBot="1" x14ac:dyDescent="0.35">
      <c r="A147" s="2" t="s">
        <v>52</v>
      </c>
      <c r="B147" s="2" t="s">
        <v>50</v>
      </c>
      <c r="C147" s="2" t="s">
        <v>34</v>
      </c>
      <c r="D147" s="2" t="s">
        <v>21</v>
      </c>
      <c r="E147" s="3">
        <v>790.08</v>
      </c>
      <c r="F147" s="3">
        <v>7</v>
      </c>
      <c r="G147" s="3">
        <v>0.1</v>
      </c>
      <c r="H147" s="4">
        <v>45536</v>
      </c>
      <c r="I147" s="3">
        <v>177.77</v>
      </c>
      <c r="J147" s="20">
        <f ca="1">NOW()</f>
        <v>46142.372622106479</v>
      </c>
    </row>
    <row r="148" spans="1:10" ht="29.4" thickBot="1" x14ac:dyDescent="0.35">
      <c r="A148" s="2" t="s">
        <v>44</v>
      </c>
      <c r="B148" s="2" t="s">
        <v>51</v>
      </c>
      <c r="C148" s="2" t="s">
        <v>20</v>
      </c>
      <c r="D148" s="2" t="s">
        <v>21</v>
      </c>
      <c r="E148" s="3">
        <v>775.45</v>
      </c>
      <c r="F148" s="3">
        <v>6</v>
      </c>
      <c r="G148" s="3">
        <v>0.1</v>
      </c>
      <c r="H148" s="4">
        <v>45457</v>
      </c>
      <c r="I148" s="3">
        <v>174.48</v>
      </c>
      <c r="J148" s="20">
        <f ca="1">NOW()</f>
        <v>46142.372622106479</v>
      </c>
    </row>
    <row r="149" spans="1:10" ht="29.4" thickBot="1" x14ac:dyDescent="0.35">
      <c r="A149" s="2" t="s">
        <v>44</v>
      </c>
      <c r="B149" s="2" t="s">
        <v>59</v>
      </c>
      <c r="C149" s="2" t="s">
        <v>34</v>
      </c>
      <c r="D149" s="2" t="s">
        <v>27</v>
      </c>
      <c r="E149" s="3">
        <v>773.09</v>
      </c>
      <c r="F149" s="3">
        <v>13</v>
      </c>
      <c r="G149" s="3">
        <v>0.15</v>
      </c>
      <c r="H149" s="4">
        <v>45434</v>
      </c>
      <c r="I149" s="3">
        <v>229.99</v>
      </c>
      <c r="J149" s="20">
        <f ca="1">NOW()</f>
        <v>46142.372622106479</v>
      </c>
    </row>
    <row r="150" spans="1:10" ht="29.4" thickBot="1" x14ac:dyDescent="0.35">
      <c r="A150" s="2" t="s">
        <v>32</v>
      </c>
      <c r="B150" s="2" t="s">
        <v>38</v>
      </c>
      <c r="C150" s="2" t="s">
        <v>20</v>
      </c>
      <c r="D150" s="2" t="s">
        <v>21</v>
      </c>
      <c r="E150" s="3">
        <v>771.02</v>
      </c>
      <c r="F150" s="3">
        <v>1</v>
      </c>
      <c r="G150" s="3">
        <v>0</v>
      </c>
      <c r="H150" s="4">
        <v>45585</v>
      </c>
      <c r="I150" s="3">
        <v>192.76</v>
      </c>
      <c r="J150" s="20">
        <f ca="1">NOW()</f>
        <v>46142.372622106479</v>
      </c>
    </row>
    <row r="151" spans="1:10" ht="29.4" thickBot="1" x14ac:dyDescent="0.35">
      <c r="A151" s="2" t="s">
        <v>25</v>
      </c>
      <c r="B151" s="2" t="s">
        <v>10</v>
      </c>
      <c r="C151" s="2" t="s">
        <v>20</v>
      </c>
      <c r="D151" s="2" t="s">
        <v>15</v>
      </c>
      <c r="E151" s="3">
        <v>762.14</v>
      </c>
      <c r="F151" s="3">
        <v>9</v>
      </c>
      <c r="G151" s="3">
        <v>0</v>
      </c>
      <c r="H151" s="4">
        <v>45743</v>
      </c>
      <c r="I151" s="3">
        <v>381.07</v>
      </c>
      <c r="J151" s="20">
        <f ca="1">NOW()</f>
        <v>46142.372622106479</v>
      </c>
    </row>
    <row r="152" spans="1:10" ht="29.4" thickBot="1" x14ac:dyDescent="0.35">
      <c r="A152" s="2" t="s">
        <v>19</v>
      </c>
      <c r="B152" s="2" t="s">
        <v>14</v>
      </c>
      <c r="C152" s="2" t="s">
        <v>20</v>
      </c>
      <c r="D152" s="2" t="s">
        <v>21</v>
      </c>
      <c r="E152" s="3">
        <v>760.93</v>
      </c>
      <c r="F152" s="3">
        <v>4</v>
      </c>
      <c r="G152" s="3">
        <v>10</v>
      </c>
      <c r="H152" s="4">
        <v>45396</v>
      </c>
      <c r="I152" s="3">
        <v>161.69999999999999</v>
      </c>
      <c r="J152" s="20">
        <f ca="1">NOW()</f>
        <v>46142.372622106479</v>
      </c>
    </row>
    <row r="153" spans="1:10" ht="29.4" thickBot="1" x14ac:dyDescent="0.35">
      <c r="A153" s="2" t="s">
        <v>22</v>
      </c>
      <c r="B153" s="2" t="s">
        <v>53</v>
      </c>
      <c r="C153" s="2" t="s">
        <v>24</v>
      </c>
      <c r="D153" s="2" t="s">
        <v>12</v>
      </c>
      <c r="E153" s="3">
        <v>750.71</v>
      </c>
      <c r="F153" s="3">
        <v>10</v>
      </c>
      <c r="G153" s="3">
        <v>0.15</v>
      </c>
      <c r="H153" s="4">
        <v>45743</v>
      </c>
      <c r="I153" s="3">
        <v>255.24</v>
      </c>
      <c r="J153" s="20">
        <f ca="1">NOW()</f>
        <v>46142.372622106479</v>
      </c>
    </row>
    <row r="154" spans="1:10" ht="29.4" thickBot="1" x14ac:dyDescent="0.35">
      <c r="A154" s="2" t="s">
        <v>52</v>
      </c>
      <c r="B154" s="2" t="s">
        <v>23</v>
      </c>
      <c r="C154" s="2" t="s">
        <v>34</v>
      </c>
      <c r="D154" s="2" t="s">
        <v>39</v>
      </c>
      <c r="E154" s="3">
        <v>745.05</v>
      </c>
      <c r="F154" s="3">
        <v>10</v>
      </c>
      <c r="G154" s="3">
        <v>0.1</v>
      </c>
      <c r="H154" s="4">
        <v>45660</v>
      </c>
      <c r="I154" s="3">
        <v>301.75</v>
      </c>
      <c r="J154" s="20">
        <f ca="1">NOW()</f>
        <v>46142.372622106479</v>
      </c>
    </row>
    <row r="155" spans="1:10" ht="29.4" thickBot="1" x14ac:dyDescent="0.35">
      <c r="A155" s="2" t="s">
        <v>9</v>
      </c>
      <c r="B155" s="2" t="s">
        <v>31</v>
      </c>
      <c r="C155" s="2" t="s">
        <v>11</v>
      </c>
      <c r="D155" s="2" t="s">
        <v>12</v>
      </c>
      <c r="E155" s="3">
        <v>743.17</v>
      </c>
      <c r="F155" s="3">
        <v>9</v>
      </c>
      <c r="G155" s="3">
        <v>10</v>
      </c>
      <c r="H155" s="4">
        <v>45416</v>
      </c>
      <c r="I155" s="3">
        <v>297.27</v>
      </c>
      <c r="J155" s="20">
        <f ca="1">NOW()</f>
        <v>46142.372622106479</v>
      </c>
    </row>
    <row r="156" spans="1:10" ht="29.4" thickBot="1" x14ac:dyDescent="0.35">
      <c r="A156" s="2" t="s">
        <v>70</v>
      </c>
      <c r="B156" s="2" t="s">
        <v>29</v>
      </c>
      <c r="C156" s="2" t="s">
        <v>34</v>
      </c>
      <c r="D156" s="2" t="s">
        <v>15</v>
      </c>
      <c r="E156" s="3">
        <v>741.88</v>
      </c>
      <c r="F156" s="3">
        <v>16</v>
      </c>
      <c r="G156" s="3">
        <v>0.1</v>
      </c>
      <c r="H156" s="4">
        <v>45695</v>
      </c>
      <c r="I156" s="3">
        <v>333.85</v>
      </c>
      <c r="J156" s="20">
        <f ca="1">NOW()</f>
        <v>46142.372622106479</v>
      </c>
    </row>
    <row r="157" spans="1:10" ht="29.4" thickBot="1" x14ac:dyDescent="0.35">
      <c r="A157" s="2" t="s">
        <v>41</v>
      </c>
      <c r="B157" s="2" t="s">
        <v>64</v>
      </c>
      <c r="C157" s="2" t="s">
        <v>24</v>
      </c>
      <c r="D157" s="2" t="s">
        <v>21</v>
      </c>
      <c r="E157" s="3">
        <v>741.61</v>
      </c>
      <c r="F157" s="3">
        <v>1</v>
      </c>
      <c r="G157" s="3">
        <v>0.2</v>
      </c>
      <c r="H157" s="4">
        <v>45471</v>
      </c>
      <c r="I157" s="3">
        <v>148.32</v>
      </c>
      <c r="J157" s="20">
        <f ca="1">NOW()</f>
        <v>46142.372622106479</v>
      </c>
    </row>
    <row r="158" spans="1:10" ht="29.4" thickBot="1" x14ac:dyDescent="0.35">
      <c r="A158" s="2" t="s">
        <v>52</v>
      </c>
      <c r="B158" s="2" t="s">
        <v>14</v>
      </c>
      <c r="C158" s="2" t="s">
        <v>20</v>
      </c>
      <c r="D158" s="2" t="s">
        <v>39</v>
      </c>
      <c r="E158" s="3">
        <v>740.8</v>
      </c>
      <c r="F158" s="3">
        <v>3</v>
      </c>
      <c r="G158" s="3">
        <v>0</v>
      </c>
      <c r="H158" s="4">
        <v>45749</v>
      </c>
      <c r="I158" s="3">
        <v>333.36</v>
      </c>
      <c r="J158" s="20">
        <f ca="1">NOW()</f>
        <v>46142.372622106479</v>
      </c>
    </row>
    <row r="159" spans="1:10" ht="29.4" thickBot="1" x14ac:dyDescent="0.35">
      <c r="A159" s="2" t="s">
        <v>35</v>
      </c>
      <c r="B159" s="2" t="s">
        <v>36</v>
      </c>
      <c r="C159" s="2" t="s">
        <v>34</v>
      </c>
      <c r="D159" s="2" t="s">
        <v>15</v>
      </c>
      <c r="E159" s="3">
        <v>737.31</v>
      </c>
      <c r="F159" s="3">
        <v>2</v>
      </c>
      <c r="G159" s="3">
        <v>10</v>
      </c>
      <c r="H159" s="4">
        <v>45401</v>
      </c>
      <c r="I159" s="3">
        <v>350.22</v>
      </c>
      <c r="J159" s="20">
        <f ca="1">NOW()</f>
        <v>46142.372622106479</v>
      </c>
    </row>
    <row r="160" spans="1:10" ht="29.4" thickBot="1" x14ac:dyDescent="0.35">
      <c r="A160" s="2" t="s">
        <v>54</v>
      </c>
      <c r="B160" s="2" t="s">
        <v>66</v>
      </c>
      <c r="C160" s="2" t="s">
        <v>34</v>
      </c>
      <c r="D160" s="2" t="s">
        <v>15</v>
      </c>
      <c r="E160" s="3">
        <v>728.71</v>
      </c>
      <c r="F160" s="3">
        <v>14</v>
      </c>
      <c r="G160" s="3">
        <v>0.1</v>
      </c>
      <c r="H160" s="4">
        <v>45581</v>
      </c>
      <c r="I160" s="3">
        <v>327.92</v>
      </c>
      <c r="J160" s="20">
        <f ca="1">NOW()</f>
        <v>46142.372622106479</v>
      </c>
    </row>
    <row r="161" spans="1:10" ht="29.4" thickBot="1" x14ac:dyDescent="0.35">
      <c r="A161" s="2" t="s">
        <v>73</v>
      </c>
      <c r="B161" s="2" t="s">
        <v>14</v>
      </c>
      <c r="C161" s="2" t="s">
        <v>20</v>
      </c>
      <c r="D161" s="2" t="s">
        <v>27</v>
      </c>
      <c r="E161" s="3">
        <v>727.73</v>
      </c>
      <c r="F161" s="3">
        <v>1</v>
      </c>
      <c r="G161" s="3">
        <v>0.1</v>
      </c>
      <c r="H161" s="4">
        <v>45552</v>
      </c>
      <c r="I161" s="3">
        <v>229.23</v>
      </c>
      <c r="J161" s="20">
        <f ca="1">NOW()</f>
        <v>46142.372622106479</v>
      </c>
    </row>
    <row r="162" spans="1:10" ht="29.4" thickBot="1" x14ac:dyDescent="0.35">
      <c r="A162" s="2" t="s">
        <v>9</v>
      </c>
      <c r="B162" s="2" t="s">
        <v>17</v>
      </c>
      <c r="C162" s="2" t="s">
        <v>20</v>
      </c>
      <c r="D162" s="2" t="s">
        <v>21</v>
      </c>
      <c r="E162" s="3">
        <v>718.04</v>
      </c>
      <c r="F162" s="3">
        <v>14</v>
      </c>
      <c r="G162" s="3">
        <v>0</v>
      </c>
      <c r="H162" s="4">
        <v>45613</v>
      </c>
      <c r="I162" s="3">
        <v>179.51</v>
      </c>
      <c r="J162" s="20">
        <f ca="1">NOW()</f>
        <v>46142.372622106479</v>
      </c>
    </row>
    <row r="163" spans="1:10" ht="29.4" thickBot="1" x14ac:dyDescent="0.35">
      <c r="A163" s="2" t="s">
        <v>16</v>
      </c>
      <c r="B163" s="2" t="s">
        <v>17</v>
      </c>
      <c r="C163" s="2" t="s">
        <v>18</v>
      </c>
      <c r="D163" s="2" t="s">
        <v>12</v>
      </c>
      <c r="E163" s="3">
        <v>713.34</v>
      </c>
      <c r="F163" s="3">
        <v>17</v>
      </c>
      <c r="G163" s="3">
        <v>10</v>
      </c>
      <c r="H163" s="4">
        <v>45396</v>
      </c>
      <c r="I163" s="3">
        <v>285.33999999999997</v>
      </c>
      <c r="J163" s="20">
        <f ca="1">NOW()</f>
        <v>46142.372622106479</v>
      </c>
    </row>
    <row r="164" spans="1:10" ht="29.4" thickBot="1" x14ac:dyDescent="0.35">
      <c r="A164" s="2" t="s">
        <v>52</v>
      </c>
      <c r="B164" s="2" t="s">
        <v>64</v>
      </c>
      <c r="C164" s="2" t="s">
        <v>24</v>
      </c>
      <c r="D164" s="2" t="s">
        <v>12</v>
      </c>
      <c r="E164" s="3">
        <v>710.52</v>
      </c>
      <c r="F164" s="3">
        <v>8</v>
      </c>
      <c r="G164" s="3">
        <v>0.1</v>
      </c>
      <c r="H164" s="4">
        <v>45721</v>
      </c>
      <c r="I164" s="3">
        <v>255.79</v>
      </c>
      <c r="J164" s="20">
        <f ca="1">NOW()</f>
        <v>46142.372622106479</v>
      </c>
    </row>
    <row r="165" spans="1:10" ht="29.4" thickBot="1" x14ac:dyDescent="0.35">
      <c r="A165" s="2" t="s">
        <v>70</v>
      </c>
      <c r="B165" s="2" t="s">
        <v>23</v>
      </c>
      <c r="C165" s="2" t="s">
        <v>24</v>
      </c>
      <c r="D165" s="2" t="s">
        <v>21</v>
      </c>
      <c r="E165" s="3">
        <v>706.73</v>
      </c>
      <c r="F165" s="3">
        <v>1</v>
      </c>
      <c r="G165" s="3">
        <v>0.15</v>
      </c>
      <c r="H165" s="4">
        <v>45613</v>
      </c>
      <c r="I165" s="3">
        <v>150.18</v>
      </c>
      <c r="J165" s="20">
        <f ca="1">NOW()</f>
        <v>46142.372622106479</v>
      </c>
    </row>
    <row r="166" spans="1:10" ht="29.4" thickBot="1" x14ac:dyDescent="0.35">
      <c r="A166" s="2" t="s">
        <v>40</v>
      </c>
      <c r="B166" s="2" t="s">
        <v>31</v>
      </c>
      <c r="C166" s="2" t="s">
        <v>34</v>
      </c>
      <c r="D166" s="2" t="s">
        <v>21</v>
      </c>
      <c r="E166" s="3">
        <v>706.37</v>
      </c>
      <c r="F166" s="3">
        <v>6</v>
      </c>
      <c r="G166" s="3">
        <v>10</v>
      </c>
      <c r="H166" s="4">
        <v>45416</v>
      </c>
      <c r="I166" s="3">
        <v>176.59</v>
      </c>
      <c r="J166" s="20">
        <f ca="1">NOW()</f>
        <v>46142.372622106479</v>
      </c>
    </row>
    <row r="167" spans="1:10" ht="29.4" thickBot="1" x14ac:dyDescent="0.35">
      <c r="A167" s="2" t="s">
        <v>67</v>
      </c>
      <c r="B167" s="2" t="s">
        <v>43</v>
      </c>
      <c r="C167" s="2" t="s">
        <v>20</v>
      </c>
      <c r="D167" s="2" t="s">
        <v>12</v>
      </c>
      <c r="E167" s="3">
        <v>704.28</v>
      </c>
      <c r="F167" s="3">
        <v>15</v>
      </c>
      <c r="G167" s="3">
        <v>0.2</v>
      </c>
      <c r="H167" s="4">
        <v>45712</v>
      </c>
      <c r="I167" s="3">
        <v>225.37</v>
      </c>
      <c r="J167" s="20">
        <f ca="1">NOW()</f>
        <v>46142.372622106479</v>
      </c>
    </row>
    <row r="168" spans="1:10" ht="29.4" thickBot="1" x14ac:dyDescent="0.35">
      <c r="A168" s="2" t="s">
        <v>74</v>
      </c>
      <c r="B168" s="2" t="s">
        <v>23</v>
      </c>
      <c r="C168" s="2" t="s">
        <v>11</v>
      </c>
      <c r="D168" s="2" t="s">
        <v>15</v>
      </c>
      <c r="E168" s="3">
        <v>697.57</v>
      </c>
      <c r="F168" s="3">
        <v>17</v>
      </c>
      <c r="G168" s="3">
        <v>0.1</v>
      </c>
      <c r="H168" s="4">
        <v>45584</v>
      </c>
      <c r="I168" s="3">
        <v>313.91000000000003</v>
      </c>
      <c r="J168" s="20">
        <f ca="1">NOW()</f>
        <v>46142.372622106479</v>
      </c>
    </row>
    <row r="169" spans="1:10" ht="29.4" thickBot="1" x14ac:dyDescent="0.35">
      <c r="A169" s="2" t="s">
        <v>32</v>
      </c>
      <c r="B169" s="2" t="s">
        <v>53</v>
      </c>
      <c r="C169" s="2" t="s">
        <v>20</v>
      </c>
      <c r="D169" s="2" t="s">
        <v>15</v>
      </c>
      <c r="E169" s="3">
        <v>689.43</v>
      </c>
      <c r="F169" s="3">
        <v>9</v>
      </c>
      <c r="G169" s="3">
        <v>0.1</v>
      </c>
      <c r="H169" s="4">
        <v>45736</v>
      </c>
      <c r="I169" s="3">
        <v>310.24</v>
      </c>
      <c r="J169" s="20">
        <f ca="1">NOW()</f>
        <v>46142.372622106479</v>
      </c>
    </row>
    <row r="170" spans="1:10" ht="29.4" thickBot="1" x14ac:dyDescent="0.35">
      <c r="A170" s="2" t="s">
        <v>13</v>
      </c>
      <c r="B170" s="2" t="s">
        <v>55</v>
      </c>
      <c r="C170" s="2" t="s">
        <v>11</v>
      </c>
      <c r="D170" s="2" t="s">
        <v>21</v>
      </c>
      <c r="E170" s="3">
        <v>688.83</v>
      </c>
      <c r="F170" s="3">
        <v>15</v>
      </c>
      <c r="G170" s="3">
        <v>0</v>
      </c>
      <c r="H170" s="4">
        <v>45595</v>
      </c>
      <c r="I170" s="3">
        <v>172.21</v>
      </c>
      <c r="J170" s="20">
        <f ca="1">NOW()</f>
        <v>46142.372622106479</v>
      </c>
    </row>
    <row r="171" spans="1:10" ht="29.4" thickBot="1" x14ac:dyDescent="0.35">
      <c r="A171" s="2" t="s">
        <v>40</v>
      </c>
      <c r="B171" s="2" t="s">
        <v>59</v>
      </c>
      <c r="C171" s="2" t="s">
        <v>20</v>
      </c>
      <c r="D171" s="2" t="s">
        <v>15</v>
      </c>
      <c r="E171" s="3">
        <v>682.24</v>
      </c>
      <c r="F171" s="3">
        <v>1</v>
      </c>
      <c r="G171" s="3">
        <v>0</v>
      </c>
      <c r="H171" s="4">
        <v>45738</v>
      </c>
      <c r="I171" s="3">
        <v>341.12</v>
      </c>
      <c r="J171" s="20">
        <f ca="1">NOW()</f>
        <v>46142.372622106479</v>
      </c>
    </row>
    <row r="172" spans="1:10" ht="29.4" thickBot="1" x14ac:dyDescent="0.35">
      <c r="A172" s="2" t="s">
        <v>25</v>
      </c>
      <c r="B172" s="2" t="s">
        <v>55</v>
      </c>
      <c r="C172" s="2" t="s">
        <v>24</v>
      </c>
      <c r="D172" s="2" t="s">
        <v>12</v>
      </c>
      <c r="E172" s="3">
        <v>679.71</v>
      </c>
      <c r="F172" s="3">
        <v>19</v>
      </c>
      <c r="G172" s="3">
        <v>0</v>
      </c>
      <c r="H172" s="4">
        <v>45534</v>
      </c>
      <c r="I172" s="3">
        <v>271.88</v>
      </c>
      <c r="J172" s="20">
        <f ca="1">NOW()</f>
        <v>46142.372622106479</v>
      </c>
    </row>
    <row r="173" spans="1:10" ht="29.4" thickBot="1" x14ac:dyDescent="0.35">
      <c r="A173" s="2" t="s">
        <v>22</v>
      </c>
      <c r="B173" s="2" t="s">
        <v>51</v>
      </c>
      <c r="C173" s="2" t="s">
        <v>24</v>
      </c>
      <c r="D173" s="2" t="s">
        <v>27</v>
      </c>
      <c r="E173" s="3">
        <v>675.54</v>
      </c>
      <c r="F173" s="3">
        <v>17</v>
      </c>
      <c r="G173" s="3">
        <v>10</v>
      </c>
      <c r="H173" s="4">
        <v>45420</v>
      </c>
      <c r="I173" s="3">
        <v>236.44</v>
      </c>
      <c r="J173" s="20">
        <f ca="1">NOW()</f>
        <v>46142.372622106479</v>
      </c>
    </row>
    <row r="174" spans="1:10" ht="29.4" thickBot="1" x14ac:dyDescent="0.35">
      <c r="A174" s="2" t="s">
        <v>63</v>
      </c>
      <c r="B174" s="2" t="s">
        <v>69</v>
      </c>
      <c r="C174" s="2" t="s">
        <v>34</v>
      </c>
      <c r="D174" s="2" t="s">
        <v>15</v>
      </c>
      <c r="E174" s="3">
        <v>662.61</v>
      </c>
      <c r="F174" s="3">
        <v>11</v>
      </c>
      <c r="G174" s="3">
        <v>0.05</v>
      </c>
      <c r="H174" s="4">
        <v>45658</v>
      </c>
      <c r="I174" s="3">
        <v>314.74</v>
      </c>
      <c r="J174" s="20">
        <f ca="1">NOW()</f>
        <v>46142.372622106479</v>
      </c>
    </row>
    <row r="175" spans="1:10" ht="29.4" thickBot="1" x14ac:dyDescent="0.35">
      <c r="A175" s="2" t="s">
        <v>67</v>
      </c>
      <c r="B175" s="2" t="s">
        <v>69</v>
      </c>
      <c r="C175" s="2" t="s">
        <v>24</v>
      </c>
      <c r="D175" s="2" t="s">
        <v>15</v>
      </c>
      <c r="E175" s="3">
        <v>661.09</v>
      </c>
      <c r="F175" s="3">
        <v>1</v>
      </c>
      <c r="G175" s="3">
        <v>0.2</v>
      </c>
      <c r="H175" s="4">
        <v>45593</v>
      </c>
      <c r="I175" s="3">
        <v>264.44</v>
      </c>
      <c r="J175" s="20">
        <f ca="1">NOW()</f>
        <v>46142.372622106479</v>
      </c>
    </row>
    <row r="176" spans="1:10" ht="29.4" thickBot="1" x14ac:dyDescent="0.35">
      <c r="A176" s="2" t="s">
        <v>30</v>
      </c>
      <c r="B176" s="2" t="s">
        <v>31</v>
      </c>
      <c r="C176" s="2" t="s">
        <v>34</v>
      </c>
      <c r="D176" s="2" t="s">
        <v>21</v>
      </c>
      <c r="E176" s="3">
        <v>645.02</v>
      </c>
      <c r="F176" s="3">
        <v>4</v>
      </c>
      <c r="G176" s="3">
        <v>10</v>
      </c>
      <c r="H176" s="4">
        <v>45414</v>
      </c>
      <c r="I176" s="3">
        <v>161.26</v>
      </c>
      <c r="J176" s="20">
        <f ca="1">NOW()</f>
        <v>46142.372622106479</v>
      </c>
    </row>
    <row r="177" spans="1:10" ht="15" thickBot="1" x14ac:dyDescent="0.35">
      <c r="A177" s="2" t="s">
        <v>75</v>
      </c>
      <c r="B177" s="2" t="s">
        <v>48</v>
      </c>
      <c r="C177" s="2" t="s">
        <v>24</v>
      </c>
      <c r="D177" s="2" t="s">
        <v>12</v>
      </c>
      <c r="E177" s="3">
        <v>640.64</v>
      </c>
      <c r="F177" s="3">
        <v>11</v>
      </c>
      <c r="G177" s="3">
        <v>0.2</v>
      </c>
      <c r="H177" s="4">
        <v>45678</v>
      </c>
      <c r="I177" s="3">
        <v>205</v>
      </c>
      <c r="J177" s="20">
        <f ca="1">NOW()</f>
        <v>46142.372622106479</v>
      </c>
    </row>
    <row r="178" spans="1:10" ht="29.4" thickBot="1" x14ac:dyDescent="0.35">
      <c r="A178" s="2" t="s">
        <v>28</v>
      </c>
      <c r="B178" s="2" t="s">
        <v>45</v>
      </c>
      <c r="C178" s="2" t="s">
        <v>11</v>
      </c>
      <c r="D178" s="2" t="s">
        <v>12</v>
      </c>
      <c r="E178" s="3">
        <v>636.70000000000005</v>
      </c>
      <c r="F178" s="3">
        <v>4</v>
      </c>
      <c r="G178" s="3">
        <v>10</v>
      </c>
      <c r="H178" s="4">
        <v>45411</v>
      </c>
      <c r="I178" s="3">
        <v>203.74</v>
      </c>
      <c r="J178" s="20">
        <f ca="1">NOW()</f>
        <v>46142.372622106479</v>
      </c>
    </row>
    <row r="179" spans="1:10" ht="29.4" thickBot="1" x14ac:dyDescent="0.35">
      <c r="A179" s="2" t="s">
        <v>22</v>
      </c>
      <c r="B179" s="2" t="s">
        <v>55</v>
      </c>
      <c r="C179" s="2" t="s">
        <v>34</v>
      </c>
      <c r="D179" s="2" t="s">
        <v>21</v>
      </c>
      <c r="E179" s="3">
        <v>608.66</v>
      </c>
      <c r="F179" s="3">
        <v>1</v>
      </c>
      <c r="G179" s="3">
        <v>0.05</v>
      </c>
      <c r="H179" s="4">
        <v>45503</v>
      </c>
      <c r="I179" s="3">
        <v>144.56</v>
      </c>
      <c r="J179" s="20">
        <f ca="1">NOW()</f>
        <v>46142.372622106479</v>
      </c>
    </row>
    <row r="180" spans="1:10" ht="29.4" thickBot="1" x14ac:dyDescent="0.35">
      <c r="A180" s="2" t="s">
        <v>74</v>
      </c>
      <c r="B180" s="2" t="s">
        <v>38</v>
      </c>
      <c r="C180" s="2" t="s">
        <v>24</v>
      </c>
      <c r="D180" s="2" t="s">
        <v>12</v>
      </c>
      <c r="E180" s="3">
        <v>585.97</v>
      </c>
      <c r="F180" s="3">
        <v>17</v>
      </c>
      <c r="G180" s="3">
        <v>0.1</v>
      </c>
      <c r="H180" s="4">
        <v>45565</v>
      </c>
      <c r="I180" s="3">
        <v>210.95</v>
      </c>
      <c r="J180" s="20">
        <f ca="1">NOW()</f>
        <v>46142.372622106479</v>
      </c>
    </row>
    <row r="181" spans="1:10" ht="29.4" thickBot="1" x14ac:dyDescent="0.35">
      <c r="A181" s="2" t="s">
        <v>22</v>
      </c>
      <c r="B181" s="2" t="s">
        <v>43</v>
      </c>
      <c r="C181" s="2" t="s">
        <v>11</v>
      </c>
      <c r="D181" s="2" t="s">
        <v>15</v>
      </c>
      <c r="E181" s="3">
        <v>585.16</v>
      </c>
      <c r="F181" s="3">
        <v>17</v>
      </c>
      <c r="G181" s="3">
        <v>0.1</v>
      </c>
      <c r="H181" s="4">
        <v>45684</v>
      </c>
      <c r="I181" s="3">
        <v>263.32</v>
      </c>
      <c r="J181" s="20">
        <f ca="1">NOW()</f>
        <v>46142.372622106479</v>
      </c>
    </row>
    <row r="182" spans="1:10" ht="29.4" thickBot="1" x14ac:dyDescent="0.35">
      <c r="A182" s="2" t="s">
        <v>60</v>
      </c>
      <c r="B182" s="2" t="s">
        <v>61</v>
      </c>
      <c r="C182" s="2" t="s">
        <v>18</v>
      </c>
      <c r="D182" s="2" t="s">
        <v>12</v>
      </c>
      <c r="E182" s="3">
        <v>580.42999999999995</v>
      </c>
      <c r="F182" s="3">
        <v>19</v>
      </c>
      <c r="G182" s="3">
        <v>0.15</v>
      </c>
      <c r="H182" s="4">
        <v>45435</v>
      </c>
      <c r="I182" s="3">
        <v>197.35</v>
      </c>
      <c r="J182" s="20">
        <f ca="1">NOW()</f>
        <v>46142.372622106479</v>
      </c>
    </row>
    <row r="183" spans="1:10" ht="29.4" thickBot="1" x14ac:dyDescent="0.35">
      <c r="A183" s="2" t="s">
        <v>72</v>
      </c>
      <c r="B183" s="2" t="s">
        <v>31</v>
      </c>
      <c r="C183" s="2" t="s">
        <v>20</v>
      </c>
      <c r="D183" s="2" t="s">
        <v>39</v>
      </c>
      <c r="E183" s="3">
        <v>573.32000000000005</v>
      </c>
      <c r="F183" s="3">
        <v>19</v>
      </c>
      <c r="G183" s="3">
        <v>0.1</v>
      </c>
      <c r="H183" s="4">
        <v>45703</v>
      </c>
      <c r="I183" s="3">
        <v>232.19</v>
      </c>
      <c r="J183" s="20">
        <f ca="1">NOW()</f>
        <v>46142.372622106479</v>
      </c>
    </row>
    <row r="184" spans="1:10" ht="29.4" thickBot="1" x14ac:dyDescent="0.35">
      <c r="A184" s="2" t="s">
        <v>40</v>
      </c>
      <c r="B184" s="2" t="s">
        <v>56</v>
      </c>
      <c r="C184" s="2" t="s">
        <v>18</v>
      </c>
      <c r="D184" s="2" t="s">
        <v>39</v>
      </c>
      <c r="E184" s="3">
        <v>556.41999999999996</v>
      </c>
      <c r="F184" s="3">
        <v>11</v>
      </c>
      <c r="G184" s="3">
        <v>0.15</v>
      </c>
      <c r="H184" s="4">
        <v>45447</v>
      </c>
      <c r="I184" s="3">
        <v>212.83</v>
      </c>
      <c r="J184" s="20">
        <f ca="1">NOW()</f>
        <v>46142.372622106479</v>
      </c>
    </row>
    <row r="185" spans="1:10" ht="29.4" thickBot="1" x14ac:dyDescent="0.35">
      <c r="A185" s="2" t="s">
        <v>58</v>
      </c>
      <c r="B185" s="2" t="s">
        <v>43</v>
      </c>
      <c r="C185" s="2" t="s">
        <v>11</v>
      </c>
      <c r="D185" s="2" t="s">
        <v>39</v>
      </c>
      <c r="E185" s="3">
        <v>545.44000000000005</v>
      </c>
      <c r="F185" s="3">
        <v>17</v>
      </c>
      <c r="G185" s="3">
        <v>0</v>
      </c>
      <c r="H185" s="4">
        <v>45752</v>
      </c>
      <c r="I185" s="3">
        <v>245.45</v>
      </c>
      <c r="J185" s="20">
        <f ca="1">NOW()</f>
        <v>46142.372622106479</v>
      </c>
    </row>
    <row r="186" spans="1:10" ht="29.4" thickBot="1" x14ac:dyDescent="0.35">
      <c r="A186" s="2" t="s">
        <v>70</v>
      </c>
      <c r="B186" s="2" t="s">
        <v>55</v>
      </c>
      <c r="C186" s="2" t="s">
        <v>18</v>
      </c>
      <c r="D186" s="2" t="s">
        <v>21</v>
      </c>
      <c r="E186" s="3">
        <v>539.77</v>
      </c>
      <c r="F186" s="3">
        <v>10</v>
      </c>
      <c r="G186" s="3">
        <v>0.15</v>
      </c>
      <c r="H186" s="4">
        <v>45509</v>
      </c>
      <c r="I186" s="3">
        <v>114.7</v>
      </c>
      <c r="J186" s="20">
        <f ca="1">NOW()</f>
        <v>46142.372622106479</v>
      </c>
    </row>
    <row r="187" spans="1:10" ht="29.4" thickBot="1" x14ac:dyDescent="0.35">
      <c r="A187" s="2" t="s">
        <v>41</v>
      </c>
      <c r="B187" s="2" t="s">
        <v>42</v>
      </c>
      <c r="C187" s="2" t="s">
        <v>24</v>
      </c>
      <c r="D187" s="2" t="s">
        <v>27</v>
      </c>
      <c r="E187" s="3">
        <v>521.66999999999996</v>
      </c>
      <c r="F187" s="3">
        <v>15</v>
      </c>
      <c r="G187" s="3">
        <v>10</v>
      </c>
      <c r="H187" s="4">
        <v>45409</v>
      </c>
      <c r="I187" s="3">
        <v>155.19999999999999</v>
      </c>
      <c r="J187" s="20">
        <f ca="1">NOW()</f>
        <v>46142.372622106479</v>
      </c>
    </row>
    <row r="188" spans="1:10" ht="29.4" thickBot="1" x14ac:dyDescent="0.35">
      <c r="A188" s="2" t="s">
        <v>72</v>
      </c>
      <c r="B188" s="2" t="s">
        <v>45</v>
      </c>
      <c r="C188" s="2" t="s">
        <v>24</v>
      </c>
      <c r="D188" s="2" t="s">
        <v>27</v>
      </c>
      <c r="E188" s="3">
        <v>518.07000000000005</v>
      </c>
      <c r="F188" s="3">
        <v>7</v>
      </c>
      <c r="G188" s="3">
        <v>0.05</v>
      </c>
      <c r="H188" s="4">
        <v>45522</v>
      </c>
      <c r="I188" s="3">
        <v>172.26</v>
      </c>
      <c r="J188" s="20">
        <f ca="1">NOW()</f>
        <v>46142.372622106479</v>
      </c>
    </row>
    <row r="189" spans="1:10" ht="29.4" thickBot="1" x14ac:dyDescent="0.35">
      <c r="A189" s="2" t="s">
        <v>58</v>
      </c>
      <c r="B189" s="2" t="s">
        <v>38</v>
      </c>
      <c r="C189" s="2" t="s">
        <v>34</v>
      </c>
      <c r="D189" s="2" t="s">
        <v>21</v>
      </c>
      <c r="E189" s="3">
        <v>511.74</v>
      </c>
      <c r="F189" s="3">
        <v>8</v>
      </c>
      <c r="G189" s="3">
        <v>0.05</v>
      </c>
      <c r="H189" s="4">
        <v>45631</v>
      </c>
      <c r="I189" s="3">
        <v>121.54</v>
      </c>
      <c r="J189" s="20">
        <f ca="1">NOW()</f>
        <v>46142.372622106479</v>
      </c>
    </row>
    <row r="190" spans="1:10" ht="29.4" thickBot="1" x14ac:dyDescent="0.35">
      <c r="A190" s="2" t="s">
        <v>32</v>
      </c>
      <c r="B190" s="2" t="s">
        <v>33</v>
      </c>
      <c r="C190" s="2" t="s">
        <v>34</v>
      </c>
      <c r="D190" s="2" t="s">
        <v>12</v>
      </c>
      <c r="E190" s="3">
        <v>501.54</v>
      </c>
      <c r="F190" s="3">
        <v>11</v>
      </c>
      <c r="G190" s="3">
        <v>10</v>
      </c>
      <c r="H190" s="4">
        <v>45401</v>
      </c>
      <c r="I190" s="3">
        <v>190.59</v>
      </c>
      <c r="J190" s="20">
        <f ca="1">NOW()</f>
        <v>46142.372622106479</v>
      </c>
    </row>
    <row r="191" spans="1:10" ht="29.4" thickBot="1" x14ac:dyDescent="0.35">
      <c r="A191" s="2" t="s">
        <v>52</v>
      </c>
      <c r="B191" s="2" t="s">
        <v>59</v>
      </c>
      <c r="C191" s="2" t="s">
        <v>24</v>
      </c>
      <c r="D191" s="2" t="s">
        <v>12</v>
      </c>
      <c r="E191" s="3">
        <v>499.18</v>
      </c>
      <c r="F191" s="3">
        <v>15</v>
      </c>
      <c r="G191" s="3">
        <v>0.2</v>
      </c>
      <c r="H191" s="4">
        <v>45724</v>
      </c>
      <c r="I191" s="3">
        <v>159.74</v>
      </c>
      <c r="J191" s="20">
        <f ca="1">NOW()</f>
        <v>46142.372622106479</v>
      </c>
    </row>
    <row r="192" spans="1:10" ht="29.4" thickBot="1" x14ac:dyDescent="0.35">
      <c r="A192" s="2" t="s">
        <v>35</v>
      </c>
      <c r="B192" s="2" t="s">
        <v>55</v>
      </c>
      <c r="C192" s="2" t="s">
        <v>34</v>
      </c>
      <c r="D192" s="2" t="s">
        <v>39</v>
      </c>
      <c r="E192" s="3">
        <v>488.99</v>
      </c>
      <c r="F192" s="3">
        <v>9</v>
      </c>
      <c r="G192" s="3">
        <v>0</v>
      </c>
      <c r="H192" s="4">
        <v>45479</v>
      </c>
      <c r="I192" s="3">
        <v>220.05</v>
      </c>
      <c r="J192" s="20">
        <f ca="1">NOW()</f>
        <v>46142.372622106479</v>
      </c>
    </row>
    <row r="193" spans="1:10" ht="29.4" thickBot="1" x14ac:dyDescent="0.35">
      <c r="A193" s="2" t="s">
        <v>13</v>
      </c>
      <c r="B193" s="2" t="s">
        <v>26</v>
      </c>
      <c r="C193" s="2" t="s">
        <v>11</v>
      </c>
      <c r="D193" s="2" t="s">
        <v>12</v>
      </c>
      <c r="E193" s="3">
        <v>472.38</v>
      </c>
      <c r="F193" s="3">
        <v>12</v>
      </c>
      <c r="G193" s="3">
        <v>0.2</v>
      </c>
      <c r="H193" s="4">
        <v>45429</v>
      </c>
      <c r="I193" s="3">
        <v>151.16</v>
      </c>
      <c r="J193" s="20">
        <f ca="1">NOW()</f>
        <v>46142.372622106479</v>
      </c>
    </row>
    <row r="194" spans="1:10" ht="29.4" thickBot="1" x14ac:dyDescent="0.35">
      <c r="A194" s="2" t="s">
        <v>41</v>
      </c>
      <c r="B194" s="2" t="s">
        <v>26</v>
      </c>
      <c r="C194" s="2" t="s">
        <v>24</v>
      </c>
      <c r="D194" s="2" t="s">
        <v>21</v>
      </c>
      <c r="E194" s="3">
        <v>458.54</v>
      </c>
      <c r="F194" s="3">
        <v>15</v>
      </c>
      <c r="G194" s="3">
        <v>0.2</v>
      </c>
      <c r="H194" s="4">
        <v>45741</v>
      </c>
      <c r="I194" s="3">
        <v>91.71</v>
      </c>
      <c r="J194" s="20">
        <f ca="1">NOW()</f>
        <v>46142.372622106479</v>
      </c>
    </row>
    <row r="195" spans="1:10" ht="29.4" thickBot="1" x14ac:dyDescent="0.35">
      <c r="A195" s="2" t="s">
        <v>67</v>
      </c>
      <c r="B195" s="2" t="s">
        <v>38</v>
      </c>
      <c r="C195" s="2" t="s">
        <v>18</v>
      </c>
      <c r="D195" s="2" t="s">
        <v>39</v>
      </c>
      <c r="E195" s="3">
        <v>438.76</v>
      </c>
      <c r="F195" s="3">
        <v>18</v>
      </c>
      <c r="G195" s="3">
        <v>0.05</v>
      </c>
      <c r="H195" s="4">
        <v>45726</v>
      </c>
      <c r="I195" s="3">
        <v>187.57</v>
      </c>
      <c r="J195" s="20">
        <f ca="1">NOW()</f>
        <v>46142.372622106479</v>
      </c>
    </row>
    <row r="196" spans="1:10" ht="29.4" thickBot="1" x14ac:dyDescent="0.35">
      <c r="A196" s="2" t="s">
        <v>49</v>
      </c>
      <c r="B196" s="2" t="s">
        <v>14</v>
      </c>
      <c r="C196" s="2" t="s">
        <v>24</v>
      </c>
      <c r="D196" s="2" t="s">
        <v>21</v>
      </c>
      <c r="E196" s="3">
        <v>388.56</v>
      </c>
      <c r="F196" s="3">
        <v>14</v>
      </c>
      <c r="G196" s="3">
        <v>10</v>
      </c>
      <c r="H196" s="4">
        <v>45416</v>
      </c>
      <c r="I196" s="3">
        <v>82.57</v>
      </c>
      <c r="J196" s="20">
        <f ca="1">NOW()</f>
        <v>46142.372622106479</v>
      </c>
    </row>
    <row r="197" spans="1:10" ht="29.4" thickBot="1" x14ac:dyDescent="0.35">
      <c r="A197" s="2" t="s">
        <v>49</v>
      </c>
      <c r="B197" s="2" t="s">
        <v>45</v>
      </c>
      <c r="C197" s="2" t="s">
        <v>34</v>
      </c>
      <c r="D197" s="2" t="s">
        <v>39</v>
      </c>
      <c r="E197" s="3">
        <v>388.23</v>
      </c>
      <c r="F197" s="3">
        <v>16</v>
      </c>
      <c r="G197" s="3">
        <v>0.05</v>
      </c>
      <c r="H197" s="4">
        <v>45650</v>
      </c>
      <c r="I197" s="3">
        <v>165.97</v>
      </c>
      <c r="J197" s="20">
        <f ca="1">NOW()</f>
        <v>46142.372622106479</v>
      </c>
    </row>
    <row r="198" spans="1:10" ht="29.4" thickBot="1" x14ac:dyDescent="0.35">
      <c r="A198" s="2" t="s">
        <v>58</v>
      </c>
      <c r="B198" s="2" t="s">
        <v>36</v>
      </c>
      <c r="C198" s="2" t="s">
        <v>11</v>
      </c>
      <c r="D198" s="2" t="s">
        <v>15</v>
      </c>
      <c r="E198" s="3">
        <v>379.77</v>
      </c>
      <c r="F198" s="3">
        <v>9</v>
      </c>
      <c r="G198" s="3">
        <v>0.05</v>
      </c>
      <c r="H198" s="4">
        <v>45673</v>
      </c>
      <c r="I198" s="3">
        <v>180.39</v>
      </c>
      <c r="J198" s="20">
        <f ca="1">NOW()</f>
        <v>46142.372622106479</v>
      </c>
    </row>
    <row r="199" spans="1:10" ht="29.4" thickBot="1" x14ac:dyDescent="0.35">
      <c r="A199" s="2" t="s">
        <v>28</v>
      </c>
      <c r="B199" s="2" t="s">
        <v>71</v>
      </c>
      <c r="C199" s="2" t="s">
        <v>24</v>
      </c>
      <c r="D199" s="2" t="s">
        <v>15</v>
      </c>
      <c r="E199" s="3">
        <v>336.66</v>
      </c>
      <c r="F199" s="3">
        <v>13</v>
      </c>
      <c r="G199" s="3">
        <v>0.2</v>
      </c>
      <c r="H199" s="4">
        <v>45651</v>
      </c>
      <c r="I199" s="3">
        <v>134.66</v>
      </c>
      <c r="J199" s="20">
        <f ca="1">NOW()</f>
        <v>46142.372622106479</v>
      </c>
    </row>
    <row r="200" spans="1:10" ht="29.4" thickBot="1" x14ac:dyDescent="0.35">
      <c r="A200" s="2" t="s">
        <v>52</v>
      </c>
      <c r="B200" s="2" t="s">
        <v>48</v>
      </c>
      <c r="C200" s="2" t="s">
        <v>24</v>
      </c>
      <c r="D200" s="2" t="s">
        <v>39</v>
      </c>
      <c r="E200" s="3">
        <v>309.42</v>
      </c>
      <c r="F200" s="3">
        <v>1</v>
      </c>
      <c r="G200" s="3">
        <v>0.2</v>
      </c>
      <c r="H200" s="4">
        <v>45658</v>
      </c>
      <c r="I200" s="3">
        <v>111.39</v>
      </c>
      <c r="J200" s="20">
        <f ca="1">NOW()</f>
        <v>46142.372622106479</v>
      </c>
    </row>
    <row r="201" spans="1:10" ht="29.4" thickBot="1" x14ac:dyDescent="0.35">
      <c r="A201" s="2" t="s">
        <v>74</v>
      </c>
      <c r="B201" s="2" t="s">
        <v>23</v>
      </c>
      <c r="C201" s="2" t="s">
        <v>11</v>
      </c>
      <c r="D201" s="2" t="s">
        <v>21</v>
      </c>
      <c r="E201" s="3">
        <v>258.51</v>
      </c>
      <c r="F201" s="3">
        <v>19</v>
      </c>
      <c r="G201" s="3">
        <v>0</v>
      </c>
      <c r="H201" s="4">
        <v>45616</v>
      </c>
      <c r="I201" s="3">
        <v>64.63</v>
      </c>
      <c r="J201" s="20">
        <f ca="1">NOW()</f>
        <v>46142.372622106479</v>
      </c>
    </row>
  </sheetData>
  <scenarios current="0" show="0">
    <scenario name="10% Discount" locked="1" count="29" user="SUBHASH LAMBA">
      <inputCells r="G81" val="10"/>
      <inputCells r="G67" val="10"/>
      <inputCells r="G163" val="10"/>
      <inputCells r="G152" val="10"/>
      <inputCells r="G132" val="10"/>
      <inputCells r="G105" val="10"/>
      <inputCells r="G27" val="10"/>
      <inputCells r="G76" val="10"/>
      <inputCells r="G190" val="10"/>
      <inputCells r="G159" val="10"/>
      <inputCells r="G7" val="10"/>
      <inputCells r="G25" val="10"/>
      <inputCells r="G47" val="10"/>
      <inputCells r="G140" val="10"/>
      <inputCells r="G187" val="10"/>
      <inputCells r="G10" val="10"/>
      <inputCells r="G122" val="10"/>
      <inputCells r="G178" val="10"/>
      <inputCells r="G9" val="10"/>
      <inputCells r="G176" val="10"/>
      <inputCells r="G108" val="10"/>
      <inputCells r="G196" val="10"/>
      <inputCells r="G155" val="10"/>
      <inputCells r="G166" val="10"/>
      <inputCells r="G114" val="10"/>
      <inputCells r="G51" val="10"/>
      <inputCells r="G173" val="10"/>
      <inputCells r="G110" val="10"/>
      <inputCells r="G99" val="10"/>
    </scenario>
  </scenarios>
  <sortState xmlns:xlrd2="http://schemas.microsoft.com/office/spreadsheetml/2017/richdata2" ref="A1:J201">
    <sortCondition descending="1" ref="E1:E201"/>
  </sortState>
  <mergeCells count="1">
    <mergeCell ref="N2:S2"/>
  </mergeCells>
  <conditionalFormatting sqref="E1:E1048576">
    <cfRule type="top10" dxfId="2" priority="1" rank="10"/>
    <cfRule type="iconSet" priority="5">
      <iconSet iconSet="3Arrows">
        <cfvo type="percent" val="0"/>
        <cfvo type="percent" val="33"/>
        <cfvo type="percent" val="67"/>
      </iconSet>
    </cfRule>
  </conditionalFormatting>
  <conditionalFormatting sqref="L5">
    <cfRule type="top10" dxfId="1" priority="2" rank="10"/>
    <cfRule type="top10" dxfId="0" priority="3" rank="10"/>
    <cfRule type="top10" priority="4" rank="10"/>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638C7-3093-42E7-B19E-F6473BB24D5A}">
  <dimension ref="A3:G25"/>
  <sheetViews>
    <sheetView workbookViewId="0">
      <selection activeCell="D11" sqref="D11"/>
    </sheetView>
  </sheetViews>
  <sheetFormatPr defaultRowHeight="14.4" x14ac:dyDescent="0.3"/>
  <cols>
    <col min="1" max="1" width="13.109375" bestFit="1" customWidth="1"/>
    <col min="2" max="2" width="13.33203125" bestFit="1" customWidth="1"/>
    <col min="3" max="3" width="9" bestFit="1" customWidth="1"/>
    <col min="4" max="4" width="12.44140625" bestFit="1" customWidth="1"/>
    <col min="5" max="5" width="11.5546875" bestFit="1" customWidth="1"/>
    <col min="6" max="6" width="9" bestFit="1" customWidth="1"/>
    <col min="7" max="7" width="10.5546875" bestFit="1" customWidth="1"/>
  </cols>
  <sheetData>
    <row r="3" spans="1:7" x14ac:dyDescent="0.3">
      <c r="A3" s="21" t="s">
        <v>128</v>
      </c>
      <c r="B3" s="21" t="s">
        <v>126</v>
      </c>
    </row>
    <row r="4" spans="1:7" x14ac:dyDescent="0.3">
      <c r="A4" s="21" t="s">
        <v>124</v>
      </c>
      <c r="B4" t="s">
        <v>34</v>
      </c>
      <c r="C4" t="s">
        <v>18</v>
      </c>
      <c r="D4" t="s">
        <v>24</v>
      </c>
      <c r="E4" t="s">
        <v>20</v>
      </c>
      <c r="F4" t="s">
        <v>11</v>
      </c>
      <c r="G4" t="s">
        <v>125</v>
      </c>
    </row>
    <row r="5" spans="1:7" x14ac:dyDescent="0.3">
      <c r="A5" s="22" t="s">
        <v>12</v>
      </c>
      <c r="B5">
        <v>11297.150000000001</v>
      </c>
      <c r="C5">
        <v>11389.090000000002</v>
      </c>
      <c r="D5">
        <v>8037.0100000000011</v>
      </c>
      <c r="E5">
        <v>9588.0400000000009</v>
      </c>
      <c r="F5">
        <v>6691.17</v>
      </c>
      <c r="G5">
        <v>47002.460000000006</v>
      </c>
    </row>
    <row r="6" spans="1:7" x14ac:dyDescent="0.3">
      <c r="A6" s="22" t="s">
        <v>15</v>
      </c>
      <c r="B6">
        <v>12200.26</v>
      </c>
      <c r="C6">
        <v>2401.4499999999998</v>
      </c>
      <c r="D6">
        <v>8422.82</v>
      </c>
      <c r="E6">
        <v>8393.630000000001</v>
      </c>
      <c r="F6">
        <v>10509.429999999998</v>
      </c>
      <c r="G6">
        <v>41927.589999999997</v>
      </c>
    </row>
    <row r="7" spans="1:7" x14ac:dyDescent="0.3">
      <c r="A7" s="22" t="s">
        <v>21</v>
      </c>
      <c r="B7">
        <v>6621.24</v>
      </c>
      <c r="C7">
        <v>2869.54</v>
      </c>
      <c r="D7">
        <v>8191.7099999999991</v>
      </c>
      <c r="E7">
        <v>11989.070000000003</v>
      </c>
      <c r="F7">
        <v>11372.44</v>
      </c>
      <c r="G7">
        <v>41044</v>
      </c>
    </row>
    <row r="8" spans="1:7" x14ac:dyDescent="0.3">
      <c r="A8" s="22" t="s">
        <v>27</v>
      </c>
      <c r="B8">
        <v>4876.96</v>
      </c>
      <c r="C8">
        <v>7592.3399999999992</v>
      </c>
      <c r="D8">
        <v>6978.08</v>
      </c>
      <c r="E8">
        <v>7982.73</v>
      </c>
      <c r="F8">
        <v>9182.7800000000007</v>
      </c>
      <c r="G8">
        <v>36612.89</v>
      </c>
    </row>
    <row r="9" spans="1:7" x14ac:dyDescent="0.3">
      <c r="A9" s="22" t="s">
        <v>39</v>
      </c>
      <c r="B9">
        <v>8472.7199999999993</v>
      </c>
      <c r="C9">
        <v>8189.2200000000012</v>
      </c>
      <c r="D9">
        <v>3345.8</v>
      </c>
      <c r="E9">
        <v>2295.3199999999997</v>
      </c>
      <c r="F9">
        <v>6327.76</v>
      </c>
      <c r="G9">
        <v>28630.82</v>
      </c>
    </row>
    <row r="10" spans="1:7" x14ac:dyDescent="0.3">
      <c r="A10" s="22" t="s">
        <v>125</v>
      </c>
      <c r="B10">
        <v>43468.33</v>
      </c>
      <c r="C10">
        <v>32441.640000000003</v>
      </c>
      <c r="D10">
        <v>34975.420000000006</v>
      </c>
      <c r="E10">
        <v>40248.79</v>
      </c>
      <c r="F10">
        <v>44083.58</v>
      </c>
      <c r="G10">
        <v>195217.76</v>
      </c>
    </row>
    <row r="12" spans="1:7" x14ac:dyDescent="0.3">
      <c r="A12" s="21" t="s">
        <v>2</v>
      </c>
      <c r="B12" t="s">
        <v>129</v>
      </c>
      <c r="D12" s="21" t="s">
        <v>124</v>
      </c>
      <c r="E12" t="s">
        <v>131</v>
      </c>
    </row>
    <row r="13" spans="1:7" x14ac:dyDescent="0.3">
      <c r="D13" s="22">
        <v>1</v>
      </c>
      <c r="E13" s="34">
        <v>5763.4</v>
      </c>
    </row>
    <row r="14" spans="1:7" x14ac:dyDescent="0.3">
      <c r="A14" s="21" t="s">
        <v>124</v>
      </c>
      <c r="B14" t="s">
        <v>128</v>
      </c>
      <c r="D14" s="22">
        <v>2</v>
      </c>
      <c r="E14" s="34">
        <v>5039.2299999999996</v>
      </c>
    </row>
    <row r="15" spans="1:7" x14ac:dyDescent="0.3">
      <c r="A15" s="22" t="s">
        <v>12</v>
      </c>
      <c r="B15">
        <v>47002.460000000006</v>
      </c>
      <c r="D15" s="22">
        <v>3</v>
      </c>
      <c r="E15" s="34">
        <v>7071.39</v>
      </c>
    </row>
    <row r="16" spans="1:7" x14ac:dyDescent="0.3">
      <c r="A16" s="22" t="s">
        <v>15</v>
      </c>
      <c r="B16">
        <v>41927.589999999989</v>
      </c>
      <c r="D16" s="22">
        <v>4</v>
      </c>
      <c r="E16" s="34">
        <v>7642.86</v>
      </c>
    </row>
    <row r="17" spans="1:5" x14ac:dyDescent="0.3">
      <c r="A17" s="22" t="s">
        <v>21</v>
      </c>
      <c r="B17">
        <v>41044.000000000007</v>
      </c>
      <c r="D17" s="22">
        <v>5</v>
      </c>
      <c r="E17" s="34">
        <v>6121.3499999999995</v>
      </c>
    </row>
    <row r="18" spans="1:5" x14ac:dyDescent="0.3">
      <c r="A18" s="22" t="s">
        <v>27</v>
      </c>
      <c r="B18">
        <v>36612.89</v>
      </c>
      <c r="D18" s="22">
        <v>6</v>
      </c>
      <c r="E18" s="34">
        <v>6918</v>
      </c>
    </row>
    <row r="19" spans="1:5" x14ac:dyDescent="0.3">
      <c r="A19" s="22" t="s">
        <v>39</v>
      </c>
      <c r="B19">
        <v>28630.819999999992</v>
      </c>
      <c r="D19" s="22">
        <v>7</v>
      </c>
      <c r="E19" s="34">
        <v>3743.85</v>
      </c>
    </row>
    <row r="20" spans="1:5" x14ac:dyDescent="0.3">
      <c r="A20" s="22" t="s">
        <v>125</v>
      </c>
      <c r="B20">
        <v>195217.76</v>
      </c>
      <c r="D20" s="22">
        <v>8</v>
      </c>
      <c r="E20" s="34">
        <v>3302.84</v>
      </c>
    </row>
    <row r="21" spans="1:5" x14ac:dyDescent="0.3">
      <c r="D21" s="22">
        <v>9</v>
      </c>
      <c r="E21" s="34">
        <v>7457.5199999999995</v>
      </c>
    </row>
    <row r="22" spans="1:5" x14ac:dyDescent="0.3">
      <c r="D22" s="22">
        <v>10</v>
      </c>
      <c r="E22" s="34">
        <v>4861.7</v>
      </c>
    </row>
    <row r="23" spans="1:5" x14ac:dyDescent="0.3">
      <c r="D23" s="22">
        <v>11</v>
      </c>
      <c r="E23" s="34">
        <v>6814.8799999999992</v>
      </c>
    </row>
    <row r="24" spans="1:5" x14ac:dyDescent="0.3">
      <c r="D24" s="22">
        <v>12</v>
      </c>
      <c r="E24" s="34">
        <v>3549.99</v>
      </c>
    </row>
    <row r="25" spans="1:5" x14ac:dyDescent="0.3">
      <c r="D25" s="22" t="s">
        <v>125</v>
      </c>
      <c r="E25" s="34">
        <v>68287.009999999995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9EF65-D018-4A00-86B3-DCB1B9E89BBA}">
  <dimension ref="A1:J201"/>
  <sheetViews>
    <sheetView workbookViewId="0">
      <selection activeCell="L1" sqref="L1:M14"/>
    </sheetView>
  </sheetViews>
  <sheetFormatPr defaultRowHeight="14.4" x14ac:dyDescent="0.3"/>
  <cols>
    <col min="1" max="1" width="11.88671875" bestFit="1" customWidth="1"/>
    <col min="2" max="2" width="15.21875" bestFit="1" customWidth="1"/>
    <col min="3" max="3" width="6.88671875" bestFit="1" customWidth="1"/>
    <col min="4" max="4" width="6" bestFit="1" customWidth="1"/>
    <col min="5" max="5" width="7.5546875" bestFit="1" customWidth="1"/>
    <col min="6" max="6" width="8.33203125" bestFit="1" customWidth="1"/>
    <col min="7" max="7" width="5.44140625" bestFit="1" customWidth="1"/>
    <col min="8" max="8" width="10.5546875" bestFit="1" customWidth="1"/>
    <col min="9" max="9" width="6.5546875" bestFit="1" customWidth="1"/>
    <col min="10" max="10" width="6.6640625" bestFit="1" customWidth="1"/>
    <col min="11" max="11" width="9.44140625" bestFit="1" customWidth="1"/>
    <col min="12" max="12" width="12.44140625" bestFit="1" customWidth="1"/>
    <col min="13" max="13" width="11.5546875" bestFit="1" customWidth="1"/>
    <col min="14" max="14" width="6.88671875" customWidth="1"/>
    <col min="15" max="15" width="9.44140625" bestFit="1" customWidth="1"/>
    <col min="16" max="16" width="6.6640625" bestFit="1" customWidth="1"/>
    <col min="17" max="17" width="9.44140625" bestFit="1" customWidth="1"/>
    <col min="18" max="18" width="6.6640625" bestFit="1" customWidth="1"/>
    <col min="19" max="19" width="9.44140625" bestFit="1" customWidth="1"/>
    <col min="20" max="20" width="6.6640625" bestFit="1" customWidth="1"/>
    <col min="21" max="21" width="9.44140625" bestFit="1" customWidth="1"/>
    <col min="22" max="22" width="6.6640625" bestFit="1" customWidth="1"/>
    <col min="23" max="23" width="9.44140625" bestFit="1" customWidth="1"/>
    <col min="24" max="24" width="6.6640625" bestFit="1" customWidth="1"/>
    <col min="25" max="25" width="5.21875" bestFit="1" customWidth="1"/>
    <col min="26" max="26" width="9.44140625" bestFit="1" customWidth="1"/>
    <col min="27" max="27" width="6.6640625" bestFit="1" customWidth="1"/>
    <col min="28" max="28" width="9.44140625" bestFit="1" customWidth="1"/>
    <col min="29" max="29" width="6.6640625" bestFit="1" customWidth="1"/>
    <col min="30" max="30" width="9.44140625" bestFit="1" customWidth="1"/>
    <col min="31" max="31" width="10.5546875" bestFit="1" customWidth="1"/>
  </cols>
  <sheetData>
    <row r="1" spans="1:10" ht="58.2" thickBot="1" x14ac:dyDescent="0.35">
      <c r="A1" s="1" t="s">
        <v>0</v>
      </c>
      <c r="B1" s="1" t="s">
        <v>1</v>
      </c>
      <c r="C1" s="1" t="s">
        <v>2</v>
      </c>
      <c r="D1" s="1" t="s">
        <v>3</v>
      </c>
      <c r="E1" s="1" t="s">
        <v>4</v>
      </c>
      <c r="F1" s="1" t="s">
        <v>5</v>
      </c>
      <c r="G1" s="1" t="s">
        <v>6</v>
      </c>
      <c r="H1" s="1" t="s">
        <v>7</v>
      </c>
      <c r="I1" s="1" t="s">
        <v>8</v>
      </c>
      <c r="J1" s="33" t="s">
        <v>130</v>
      </c>
    </row>
    <row r="2" spans="1:10" ht="15" thickBot="1" x14ac:dyDescent="0.35">
      <c r="A2" s="2" t="s">
        <v>9</v>
      </c>
      <c r="B2" s="2" t="s">
        <v>10</v>
      </c>
      <c r="C2" s="2" t="s">
        <v>11</v>
      </c>
      <c r="D2" s="2" t="s">
        <v>12</v>
      </c>
      <c r="E2" s="3">
        <v>1036.0899999999999</v>
      </c>
      <c r="F2" s="3">
        <v>4</v>
      </c>
      <c r="G2" s="3">
        <v>0.2</v>
      </c>
      <c r="H2" s="4">
        <v>45392</v>
      </c>
      <c r="I2" s="3">
        <v>331.55</v>
      </c>
      <c r="J2">
        <f>MONTH(H2)</f>
        <v>4</v>
      </c>
    </row>
    <row r="3" spans="1:10" ht="29.4" thickBot="1" x14ac:dyDescent="0.35">
      <c r="A3" s="2" t="s">
        <v>13</v>
      </c>
      <c r="B3" s="2" t="s">
        <v>14</v>
      </c>
      <c r="C3" s="2" t="s">
        <v>11</v>
      </c>
      <c r="D3" s="2" t="s">
        <v>15</v>
      </c>
      <c r="E3" s="3">
        <v>1101.28</v>
      </c>
      <c r="F3" s="3">
        <v>3</v>
      </c>
      <c r="G3" s="3">
        <v>0.2</v>
      </c>
      <c r="H3" s="4">
        <v>45393</v>
      </c>
      <c r="I3" s="3">
        <v>440.51</v>
      </c>
      <c r="J3">
        <f>MONTH(H3)</f>
        <v>4</v>
      </c>
    </row>
    <row r="4" spans="1:10" ht="15" thickBot="1" x14ac:dyDescent="0.35">
      <c r="A4" s="2" t="s">
        <v>16</v>
      </c>
      <c r="B4" s="2" t="s">
        <v>17</v>
      </c>
      <c r="C4" s="2" t="s">
        <v>18</v>
      </c>
      <c r="D4" s="2" t="s">
        <v>12</v>
      </c>
      <c r="E4" s="3">
        <v>713.34</v>
      </c>
      <c r="F4" s="3">
        <v>17</v>
      </c>
      <c r="G4" s="3">
        <v>0</v>
      </c>
      <c r="H4" s="4">
        <v>45396</v>
      </c>
      <c r="I4" s="3">
        <v>285.33999999999997</v>
      </c>
      <c r="J4">
        <f>MONTH(H4)</f>
        <v>4</v>
      </c>
    </row>
    <row r="5" spans="1:10" ht="29.4" thickBot="1" x14ac:dyDescent="0.35">
      <c r="A5" s="2" t="s">
        <v>19</v>
      </c>
      <c r="B5" s="2" t="s">
        <v>14</v>
      </c>
      <c r="C5" s="2" t="s">
        <v>20</v>
      </c>
      <c r="D5" s="2" t="s">
        <v>21</v>
      </c>
      <c r="E5" s="3">
        <v>760.93</v>
      </c>
      <c r="F5" s="3">
        <v>4</v>
      </c>
      <c r="G5" s="3">
        <v>0.15</v>
      </c>
      <c r="H5" s="4">
        <v>45396</v>
      </c>
      <c r="I5" s="3">
        <v>161.69999999999999</v>
      </c>
      <c r="J5">
        <f>MONTH(H5)</f>
        <v>4</v>
      </c>
    </row>
    <row r="6" spans="1:10" ht="15" thickBot="1" x14ac:dyDescent="0.35">
      <c r="A6" s="2" t="s">
        <v>22</v>
      </c>
      <c r="B6" s="2" t="s">
        <v>23</v>
      </c>
      <c r="C6" s="2" t="s">
        <v>24</v>
      </c>
      <c r="D6" s="2" t="s">
        <v>12</v>
      </c>
      <c r="E6" s="3">
        <v>847</v>
      </c>
      <c r="F6" s="3">
        <v>12</v>
      </c>
      <c r="G6" s="3">
        <v>0.2</v>
      </c>
      <c r="H6" s="4">
        <v>45397</v>
      </c>
      <c r="I6" s="3">
        <v>271.04000000000002</v>
      </c>
      <c r="J6">
        <f>MONTH(H6)</f>
        <v>4</v>
      </c>
    </row>
    <row r="7" spans="1:10" ht="29.4" thickBot="1" x14ac:dyDescent="0.35">
      <c r="A7" s="2" t="s">
        <v>25</v>
      </c>
      <c r="B7" s="2" t="s">
        <v>26</v>
      </c>
      <c r="C7" s="2" t="s">
        <v>24</v>
      </c>
      <c r="D7" s="2" t="s">
        <v>27</v>
      </c>
      <c r="E7" s="3">
        <v>965.64</v>
      </c>
      <c r="F7" s="3">
        <v>8</v>
      </c>
      <c r="G7" s="3">
        <v>0.1</v>
      </c>
      <c r="H7" s="4">
        <v>45398</v>
      </c>
      <c r="I7" s="3">
        <v>304.18</v>
      </c>
      <c r="J7">
        <f>MONTH(H7)</f>
        <v>4</v>
      </c>
    </row>
    <row r="8" spans="1:10" ht="29.4" thickBot="1" x14ac:dyDescent="0.35">
      <c r="A8" s="2" t="s">
        <v>28</v>
      </c>
      <c r="B8" s="2" t="s">
        <v>29</v>
      </c>
      <c r="C8" s="2" t="s">
        <v>11</v>
      </c>
      <c r="D8" s="2" t="s">
        <v>21</v>
      </c>
      <c r="E8" s="3">
        <v>1317.53</v>
      </c>
      <c r="F8" s="3">
        <v>12</v>
      </c>
      <c r="G8" s="3">
        <v>0.05</v>
      </c>
      <c r="H8" s="4">
        <v>45398</v>
      </c>
      <c r="I8" s="3">
        <v>312.91000000000003</v>
      </c>
      <c r="J8">
        <f>MONTH(H8)</f>
        <v>4</v>
      </c>
    </row>
    <row r="9" spans="1:10" ht="29.4" thickBot="1" x14ac:dyDescent="0.35">
      <c r="A9" s="2" t="s">
        <v>30</v>
      </c>
      <c r="B9" s="2" t="s">
        <v>31</v>
      </c>
      <c r="C9" s="2" t="s">
        <v>18</v>
      </c>
      <c r="D9" s="2" t="s">
        <v>27</v>
      </c>
      <c r="E9" s="3">
        <v>1074.47</v>
      </c>
      <c r="F9" s="3">
        <v>6</v>
      </c>
      <c r="G9" s="3">
        <v>0.2</v>
      </c>
      <c r="H9" s="4">
        <v>45401</v>
      </c>
      <c r="I9" s="3">
        <v>300.85000000000002</v>
      </c>
      <c r="J9">
        <f>MONTH(H9)</f>
        <v>4</v>
      </c>
    </row>
    <row r="10" spans="1:10" ht="15" thickBot="1" x14ac:dyDescent="0.35">
      <c r="A10" s="2" t="s">
        <v>32</v>
      </c>
      <c r="B10" s="2" t="s">
        <v>33</v>
      </c>
      <c r="C10" s="2" t="s">
        <v>34</v>
      </c>
      <c r="D10" s="2" t="s">
        <v>12</v>
      </c>
      <c r="E10" s="3">
        <v>501.54</v>
      </c>
      <c r="F10" s="3">
        <v>11</v>
      </c>
      <c r="G10" s="3">
        <v>0.05</v>
      </c>
      <c r="H10" s="4">
        <v>45401</v>
      </c>
      <c r="I10" s="3">
        <v>190.59</v>
      </c>
      <c r="J10">
        <f>MONTH(H10)</f>
        <v>4</v>
      </c>
    </row>
    <row r="11" spans="1:10" ht="29.4" thickBot="1" x14ac:dyDescent="0.35">
      <c r="A11" s="2" t="s">
        <v>35</v>
      </c>
      <c r="B11" s="2" t="s">
        <v>36</v>
      </c>
      <c r="C11" s="2" t="s">
        <v>34</v>
      </c>
      <c r="D11" s="2" t="s">
        <v>15</v>
      </c>
      <c r="E11" s="3">
        <v>737.31</v>
      </c>
      <c r="F11" s="3">
        <v>2</v>
      </c>
      <c r="G11" s="3">
        <v>0.05</v>
      </c>
      <c r="H11" s="4">
        <v>45401</v>
      </c>
      <c r="I11" s="3">
        <v>350.22</v>
      </c>
      <c r="J11">
        <f>MONTH(H11)</f>
        <v>4</v>
      </c>
    </row>
    <row r="12" spans="1:10" ht="43.8" thickBot="1" x14ac:dyDescent="0.35">
      <c r="A12" s="2" t="s">
        <v>37</v>
      </c>
      <c r="B12" s="2" t="s">
        <v>38</v>
      </c>
      <c r="C12" s="2" t="s">
        <v>11</v>
      </c>
      <c r="D12" s="2" t="s">
        <v>39</v>
      </c>
      <c r="E12" s="3">
        <v>1572.82</v>
      </c>
      <c r="F12" s="3">
        <v>6</v>
      </c>
      <c r="G12" s="3">
        <v>0.05</v>
      </c>
      <c r="H12" s="4">
        <v>45402</v>
      </c>
      <c r="I12" s="3">
        <v>672.38</v>
      </c>
      <c r="J12">
        <f>MONTH(H12)</f>
        <v>4</v>
      </c>
    </row>
    <row r="13" spans="1:10" ht="15" thickBot="1" x14ac:dyDescent="0.35">
      <c r="A13" s="2" t="s">
        <v>37</v>
      </c>
      <c r="B13" s="2" t="s">
        <v>36</v>
      </c>
      <c r="C13" s="2" t="s">
        <v>34</v>
      </c>
      <c r="D13" s="2" t="s">
        <v>12</v>
      </c>
      <c r="E13" s="3">
        <v>1343.13</v>
      </c>
      <c r="F13" s="3">
        <v>14</v>
      </c>
      <c r="G13" s="3">
        <v>0.15</v>
      </c>
      <c r="H13" s="4">
        <v>45404</v>
      </c>
      <c r="I13" s="3">
        <v>456.66</v>
      </c>
      <c r="J13">
        <f>MONTH(H13)</f>
        <v>4</v>
      </c>
    </row>
    <row r="14" spans="1:10" ht="29.4" thickBot="1" x14ac:dyDescent="0.35">
      <c r="A14" s="2" t="s">
        <v>25</v>
      </c>
      <c r="B14" s="2" t="s">
        <v>26</v>
      </c>
      <c r="C14" s="2" t="s">
        <v>34</v>
      </c>
      <c r="D14" s="2" t="s">
        <v>12</v>
      </c>
      <c r="E14" s="3">
        <v>1191.58</v>
      </c>
      <c r="F14" s="3">
        <v>14</v>
      </c>
      <c r="G14" s="3">
        <v>0.05</v>
      </c>
      <c r="H14" s="4">
        <v>45406</v>
      </c>
      <c r="I14" s="3">
        <v>452.8</v>
      </c>
      <c r="J14">
        <f>MONTH(H14)</f>
        <v>4</v>
      </c>
    </row>
    <row r="15" spans="1:10" ht="29.4" thickBot="1" x14ac:dyDescent="0.35">
      <c r="A15" s="2" t="s">
        <v>40</v>
      </c>
      <c r="B15" s="2" t="s">
        <v>14</v>
      </c>
      <c r="C15" s="2" t="s">
        <v>11</v>
      </c>
      <c r="D15" s="2" t="s">
        <v>27</v>
      </c>
      <c r="E15" s="3">
        <v>822.28</v>
      </c>
      <c r="F15" s="3">
        <v>7</v>
      </c>
      <c r="G15" s="3">
        <v>0.05</v>
      </c>
      <c r="H15" s="4">
        <v>45406</v>
      </c>
      <c r="I15" s="3">
        <v>273.41000000000003</v>
      </c>
      <c r="J15">
        <f>MONTH(H15)</f>
        <v>4</v>
      </c>
    </row>
    <row r="16" spans="1:10" ht="29.4" thickBot="1" x14ac:dyDescent="0.35">
      <c r="A16" s="2" t="s">
        <v>41</v>
      </c>
      <c r="B16" s="2" t="s">
        <v>42</v>
      </c>
      <c r="C16" s="2" t="s">
        <v>24</v>
      </c>
      <c r="D16" s="2" t="s">
        <v>27</v>
      </c>
      <c r="E16" s="3">
        <v>521.66999999999996</v>
      </c>
      <c r="F16" s="3">
        <v>15</v>
      </c>
      <c r="G16" s="3">
        <v>0.15</v>
      </c>
      <c r="H16" s="4">
        <v>45409</v>
      </c>
      <c r="I16" s="3">
        <v>155.19999999999999</v>
      </c>
      <c r="J16">
        <f>MONTH(H16)</f>
        <v>4</v>
      </c>
    </row>
    <row r="17" spans="1:10" ht="29.4" thickBot="1" x14ac:dyDescent="0.35">
      <c r="A17" s="2" t="s">
        <v>19</v>
      </c>
      <c r="B17" s="2" t="s">
        <v>43</v>
      </c>
      <c r="C17" s="2" t="s">
        <v>20</v>
      </c>
      <c r="D17" s="2" t="s">
        <v>21</v>
      </c>
      <c r="E17" s="3">
        <v>1502.93</v>
      </c>
      <c r="F17" s="3">
        <v>14</v>
      </c>
      <c r="G17" s="3">
        <v>0.2</v>
      </c>
      <c r="H17" s="4">
        <v>45410</v>
      </c>
      <c r="I17" s="3">
        <v>300.58999999999997</v>
      </c>
      <c r="J17">
        <f>MONTH(H17)</f>
        <v>4</v>
      </c>
    </row>
    <row r="18" spans="1:10" ht="15" thickBot="1" x14ac:dyDescent="0.35">
      <c r="A18" s="2" t="s">
        <v>44</v>
      </c>
      <c r="B18" s="2" t="s">
        <v>14</v>
      </c>
      <c r="C18" s="2" t="s">
        <v>20</v>
      </c>
      <c r="D18" s="2" t="s">
        <v>12</v>
      </c>
      <c r="E18" s="3">
        <v>877.58</v>
      </c>
      <c r="F18" s="3">
        <v>10</v>
      </c>
      <c r="G18" s="3">
        <v>0.15</v>
      </c>
      <c r="H18" s="4">
        <v>45411</v>
      </c>
      <c r="I18" s="3">
        <v>298.38</v>
      </c>
      <c r="J18">
        <f>MONTH(H18)</f>
        <v>4</v>
      </c>
    </row>
    <row r="19" spans="1:10" ht="15" thickBot="1" x14ac:dyDescent="0.35">
      <c r="A19" s="2" t="s">
        <v>28</v>
      </c>
      <c r="B19" s="2" t="s">
        <v>45</v>
      </c>
      <c r="C19" s="2" t="s">
        <v>11</v>
      </c>
      <c r="D19" s="2" t="s">
        <v>12</v>
      </c>
      <c r="E19" s="3">
        <v>636.70000000000005</v>
      </c>
      <c r="F19" s="3">
        <v>4</v>
      </c>
      <c r="G19" s="3">
        <v>0.2</v>
      </c>
      <c r="H19" s="4">
        <v>45411</v>
      </c>
      <c r="I19" s="3">
        <v>203.74</v>
      </c>
      <c r="J19">
        <f>MONTH(H19)</f>
        <v>4</v>
      </c>
    </row>
    <row r="20" spans="1:10" ht="15" thickBot="1" x14ac:dyDescent="0.35">
      <c r="A20" s="2" t="s">
        <v>46</v>
      </c>
      <c r="B20" s="2" t="s">
        <v>47</v>
      </c>
      <c r="C20" s="2" t="s">
        <v>11</v>
      </c>
      <c r="D20" s="2" t="s">
        <v>12</v>
      </c>
      <c r="E20" s="3">
        <v>1506.14</v>
      </c>
      <c r="F20" s="3">
        <v>13</v>
      </c>
      <c r="G20" s="3">
        <v>0.2</v>
      </c>
      <c r="H20" s="4">
        <v>45412</v>
      </c>
      <c r="I20" s="3">
        <v>481.96</v>
      </c>
      <c r="J20">
        <f>MONTH(H20)</f>
        <v>4</v>
      </c>
    </row>
    <row r="21" spans="1:10" ht="29.4" thickBot="1" x14ac:dyDescent="0.35">
      <c r="A21" s="2" t="s">
        <v>30</v>
      </c>
      <c r="B21" s="2" t="s">
        <v>31</v>
      </c>
      <c r="C21" s="2" t="s">
        <v>34</v>
      </c>
      <c r="D21" s="2" t="s">
        <v>21</v>
      </c>
      <c r="E21" s="3">
        <v>645.02</v>
      </c>
      <c r="F21" s="3">
        <v>4</v>
      </c>
      <c r="G21" s="3">
        <v>0</v>
      </c>
      <c r="H21" s="4">
        <v>45414</v>
      </c>
      <c r="I21" s="3">
        <v>161.26</v>
      </c>
      <c r="J21">
        <f>MONTH(H21)</f>
        <v>5</v>
      </c>
    </row>
    <row r="22" spans="1:10" ht="29.4" thickBot="1" x14ac:dyDescent="0.35">
      <c r="A22" s="2" t="s">
        <v>25</v>
      </c>
      <c r="B22" s="2" t="s">
        <v>48</v>
      </c>
      <c r="C22" s="2" t="s">
        <v>20</v>
      </c>
      <c r="D22" s="2" t="s">
        <v>15</v>
      </c>
      <c r="E22" s="3">
        <v>953.3</v>
      </c>
      <c r="F22" s="3">
        <v>11</v>
      </c>
      <c r="G22" s="3">
        <v>0</v>
      </c>
      <c r="H22" s="4">
        <v>45415</v>
      </c>
      <c r="I22" s="3">
        <v>476.65</v>
      </c>
      <c r="J22">
        <f>MONTH(H22)</f>
        <v>5</v>
      </c>
    </row>
    <row r="23" spans="1:10" ht="29.4" thickBot="1" x14ac:dyDescent="0.35">
      <c r="A23" s="2" t="s">
        <v>49</v>
      </c>
      <c r="B23" s="2" t="s">
        <v>14</v>
      </c>
      <c r="C23" s="2" t="s">
        <v>24</v>
      </c>
      <c r="D23" s="2" t="s">
        <v>21</v>
      </c>
      <c r="E23" s="3">
        <v>388.56</v>
      </c>
      <c r="F23" s="3">
        <v>14</v>
      </c>
      <c r="G23" s="3">
        <v>0.15</v>
      </c>
      <c r="H23" s="4">
        <v>45416</v>
      </c>
      <c r="I23" s="3">
        <v>82.57</v>
      </c>
      <c r="J23">
        <f>MONTH(H23)</f>
        <v>5</v>
      </c>
    </row>
    <row r="24" spans="1:10" ht="15" thickBot="1" x14ac:dyDescent="0.35">
      <c r="A24" s="2" t="s">
        <v>9</v>
      </c>
      <c r="B24" s="2" t="s">
        <v>31</v>
      </c>
      <c r="C24" s="2" t="s">
        <v>11</v>
      </c>
      <c r="D24" s="2" t="s">
        <v>12</v>
      </c>
      <c r="E24" s="3">
        <v>743.17</v>
      </c>
      <c r="F24" s="3">
        <v>9</v>
      </c>
      <c r="G24" s="3">
        <v>0</v>
      </c>
      <c r="H24" s="4">
        <v>45416</v>
      </c>
      <c r="I24" s="3">
        <v>297.27</v>
      </c>
      <c r="J24">
        <f>MONTH(H24)</f>
        <v>5</v>
      </c>
    </row>
    <row r="25" spans="1:10" ht="29.4" thickBot="1" x14ac:dyDescent="0.35">
      <c r="A25" s="2" t="s">
        <v>40</v>
      </c>
      <c r="B25" s="2" t="s">
        <v>31</v>
      </c>
      <c r="C25" s="2" t="s">
        <v>34</v>
      </c>
      <c r="D25" s="2" t="s">
        <v>21</v>
      </c>
      <c r="E25" s="3">
        <v>706.37</v>
      </c>
      <c r="F25" s="3">
        <v>6</v>
      </c>
      <c r="G25" s="3">
        <v>0</v>
      </c>
      <c r="H25" s="4">
        <v>45416</v>
      </c>
      <c r="I25" s="3">
        <v>176.59</v>
      </c>
      <c r="J25">
        <f>MONTH(H25)</f>
        <v>5</v>
      </c>
    </row>
    <row r="26" spans="1:10" ht="43.8" thickBot="1" x14ac:dyDescent="0.35">
      <c r="A26" s="2" t="s">
        <v>13</v>
      </c>
      <c r="B26" s="2" t="s">
        <v>31</v>
      </c>
      <c r="C26" s="2" t="s">
        <v>34</v>
      </c>
      <c r="D26" s="2" t="s">
        <v>39</v>
      </c>
      <c r="E26" s="3">
        <v>925.31</v>
      </c>
      <c r="F26" s="3">
        <v>8</v>
      </c>
      <c r="G26" s="3">
        <v>0.1</v>
      </c>
      <c r="H26" s="4">
        <v>45418</v>
      </c>
      <c r="I26" s="3">
        <v>374.75</v>
      </c>
      <c r="J26">
        <f>MONTH(H26)</f>
        <v>5</v>
      </c>
    </row>
    <row r="27" spans="1:10" ht="29.4" thickBot="1" x14ac:dyDescent="0.35">
      <c r="A27" s="2" t="s">
        <v>35</v>
      </c>
      <c r="B27" s="2" t="s">
        <v>50</v>
      </c>
      <c r="C27" s="2" t="s">
        <v>20</v>
      </c>
      <c r="D27" s="2" t="s">
        <v>21</v>
      </c>
      <c r="E27" s="3">
        <v>1173.1199999999999</v>
      </c>
      <c r="F27" s="3">
        <v>18</v>
      </c>
      <c r="G27" s="3">
        <v>0</v>
      </c>
      <c r="H27" s="4">
        <v>45418</v>
      </c>
      <c r="I27" s="3">
        <v>293.27999999999997</v>
      </c>
      <c r="J27">
        <f>MONTH(H27)</f>
        <v>5</v>
      </c>
    </row>
    <row r="28" spans="1:10" ht="29.4" thickBot="1" x14ac:dyDescent="0.35">
      <c r="A28" s="2" t="s">
        <v>22</v>
      </c>
      <c r="B28" s="2" t="s">
        <v>51</v>
      </c>
      <c r="C28" s="2" t="s">
        <v>24</v>
      </c>
      <c r="D28" s="2" t="s">
        <v>27</v>
      </c>
      <c r="E28" s="3">
        <v>675.54</v>
      </c>
      <c r="F28" s="3">
        <v>17</v>
      </c>
      <c r="G28" s="3">
        <v>0</v>
      </c>
      <c r="H28" s="4">
        <v>45420</v>
      </c>
      <c r="I28" s="3">
        <v>236.44</v>
      </c>
      <c r="J28">
        <f>MONTH(H28)</f>
        <v>5</v>
      </c>
    </row>
    <row r="29" spans="1:10" ht="15" thickBot="1" x14ac:dyDescent="0.35">
      <c r="A29" s="2" t="s">
        <v>25</v>
      </c>
      <c r="B29" s="2" t="s">
        <v>14</v>
      </c>
      <c r="C29" s="2" t="s">
        <v>34</v>
      </c>
      <c r="D29" s="2" t="s">
        <v>12</v>
      </c>
      <c r="E29" s="3">
        <v>939.09</v>
      </c>
      <c r="F29" s="3">
        <v>2</v>
      </c>
      <c r="G29" s="3">
        <v>0.05</v>
      </c>
      <c r="H29" s="4">
        <v>45422</v>
      </c>
      <c r="I29" s="3">
        <v>356.85</v>
      </c>
      <c r="J29">
        <f>MONTH(H29)</f>
        <v>5</v>
      </c>
    </row>
    <row r="30" spans="1:10" ht="43.8" thickBot="1" x14ac:dyDescent="0.35">
      <c r="A30" s="2" t="s">
        <v>52</v>
      </c>
      <c r="B30" s="2" t="s">
        <v>53</v>
      </c>
      <c r="C30" s="2" t="s">
        <v>18</v>
      </c>
      <c r="D30" s="2" t="s">
        <v>39</v>
      </c>
      <c r="E30" s="3">
        <v>983.34</v>
      </c>
      <c r="F30" s="3">
        <v>19</v>
      </c>
      <c r="G30" s="3">
        <v>0.1</v>
      </c>
      <c r="H30" s="4">
        <v>45426</v>
      </c>
      <c r="I30" s="3">
        <v>398.25</v>
      </c>
      <c r="J30">
        <f>MONTH(H30)</f>
        <v>5</v>
      </c>
    </row>
    <row r="31" spans="1:10" ht="29.4" thickBot="1" x14ac:dyDescent="0.35">
      <c r="A31" s="2" t="s">
        <v>52</v>
      </c>
      <c r="B31" s="2" t="s">
        <v>23</v>
      </c>
      <c r="C31" s="2" t="s">
        <v>20</v>
      </c>
      <c r="D31" s="2" t="s">
        <v>21</v>
      </c>
      <c r="E31" s="3">
        <v>801.21</v>
      </c>
      <c r="F31" s="3">
        <v>3</v>
      </c>
      <c r="G31" s="3">
        <v>0.2</v>
      </c>
      <c r="H31" s="4">
        <v>45426</v>
      </c>
      <c r="I31" s="3">
        <v>160.24</v>
      </c>
      <c r="J31">
        <f>MONTH(H31)</f>
        <v>5</v>
      </c>
    </row>
    <row r="32" spans="1:10" ht="29.4" thickBot="1" x14ac:dyDescent="0.35">
      <c r="A32" s="2" t="s">
        <v>54</v>
      </c>
      <c r="B32" s="2" t="s">
        <v>55</v>
      </c>
      <c r="C32" s="2" t="s">
        <v>24</v>
      </c>
      <c r="D32" s="2" t="s">
        <v>21</v>
      </c>
      <c r="E32" s="3">
        <v>1450.71</v>
      </c>
      <c r="F32" s="3">
        <v>5</v>
      </c>
      <c r="G32" s="3">
        <v>0.1</v>
      </c>
      <c r="H32" s="4">
        <v>45427</v>
      </c>
      <c r="I32" s="3">
        <v>326.41000000000003</v>
      </c>
      <c r="J32">
        <f>MONTH(H32)</f>
        <v>5</v>
      </c>
    </row>
    <row r="33" spans="1:10" ht="15" thickBot="1" x14ac:dyDescent="0.35">
      <c r="A33" s="2" t="s">
        <v>49</v>
      </c>
      <c r="B33" s="2" t="s">
        <v>56</v>
      </c>
      <c r="C33" s="2" t="s">
        <v>34</v>
      </c>
      <c r="D33" s="2" t="s">
        <v>12</v>
      </c>
      <c r="E33" s="3">
        <v>1023.21</v>
      </c>
      <c r="F33" s="3">
        <v>18</v>
      </c>
      <c r="G33" s="3">
        <v>0.05</v>
      </c>
      <c r="H33" s="4">
        <v>45428</v>
      </c>
      <c r="I33" s="3">
        <v>388.82</v>
      </c>
      <c r="J33">
        <f>MONTH(H33)</f>
        <v>5</v>
      </c>
    </row>
    <row r="34" spans="1:10" ht="29.4" thickBot="1" x14ac:dyDescent="0.35">
      <c r="A34" s="2" t="s">
        <v>28</v>
      </c>
      <c r="B34" s="2" t="s">
        <v>47</v>
      </c>
      <c r="C34" s="2" t="s">
        <v>11</v>
      </c>
      <c r="D34" s="2" t="s">
        <v>27</v>
      </c>
      <c r="E34" s="3">
        <v>853.72</v>
      </c>
      <c r="F34" s="3">
        <v>5</v>
      </c>
      <c r="G34" s="3">
        <v>0.15</v>
      </c>
      <c r="H34" s="4">
        <v>45428</v>
      </c>
      <c r="I34" s="3">
        <v>253.98</v>
      </c>
      <c r="J34">
        <f>MONTH(H34)</f>
        <v>5</v>
      </c>
    </row>
    <row r="35" spans="1:10" ht="29.4" thickBot="1" x14ac:dyDescent="0.35">
      <c r="A35" s="2" t="s">
        <v>57</v>
      </c>
      <c r="B35" s="2" t="s">
        <v>43</v>
      </c>
      <c r="C35" s="2" t="s">
        <v>20</v>
      </c>
      <c r="D35" s="2" t="s">
        <v>21</v>
      </c>
      <c r="E35" s="3">
        <v>967.89</v>
      </c>
      <c r="F35" s="3">
        <v>10</v>
      </c>
      <c r="G35" s="3">
        <v>0.1</v>
      </c>
      <c r="H35" s="4">
        <v>45429</v>
      </c>
      <c r="I35" s="3">
        <v>217.78</v>
      </c>
      <c r="J35">
        <f>MONTH(H35)</f>
        <v>5</v>
      </c>
    </row>
    <row r="36" spans="1:10" ht="43.8" thickBot="1" x14ac:dyDescent="0.35">
      <c r="A36" s="2" t="s">
        <v>58</v>
      </c>
      <c r="B36" s="2" t="s">
        <v>53</v>
      </c>
      <c r="C36" s="2" t="s">
        <v>24</v>
      </c>
      <c r="D36" s="2" t="s">
        <v>39</v>
      </c>
      <c r="E36" s="3">
        <v>1200.9000000000001</v>
      </c>
      <c r="F36" s="3">
        <v>14</v>
      </c>
      <c r="G36" s="3">
        <v>0.05</v>
      </c>
      <c r="H36" s="4">
        <v>45429</v>
      </c>
      <c r="I36" s="3">
        <v>513.38</v>
      </c>
      <c r="J36">
        <f>MONTH(H36)</f>
        <v>5</v>
      </c>
    </row>
    <row r="37" spans="1:10" ht="29.4" thickBot="1" x14ac:dyDescent="0.35">
      <c r="A37" s="2" t="s">
        <v>13</v>
      </c>
      <c r="B37" s="2" t="s">
        <v>26</v>
      </c>
      <c r="C37" s="2" t="s">
        <v>11</v>
      </c>
      <c r="D37" s="2" t="s">
        <v>12</v>
      </c>
      <c r="E37" s="3">
        <v>472.38</v>
      </c>
      <c r="F37" s="3">
        <v>12</v>
      </c>
      <c r="G37" s="3">
        <v>0.2</v>
      </c>
      <c r="H37" s="4">
        <v>45429</v>
      </c>
      <c r="I37" s="3">
        <v>151.16</v>
      </c>
      <c r="J37">
        <f>MONTH(H37)</f>
        <v>5</v>
      </c>
    </row>
    <row r="38" spans="1:10" ht="43.8" thickBot="1" x14ac:dyDescent="0.35">
      <c r="A38" s="2" t="s">
        <v>9</v>
      </c>
      <c r="B38" s="2" t="s">
        <v>55</v>
      </c>
      <c r="C38" s="2" t="s">
        <v>18</v>
      </c>
      <c r="D38" s="2" t="s">
        <v>39</v>
      </c>
      <c r="E38" s="3">
        <v>840.92</v>
      </c>
      <c r="F38" s="3">
        <v>9</v>
      </c>
      <c r="G38" s="3">
        <v>0.05</v>
      </c>
      <c r="H38" s="4">
        <v>45429</v>
      </c>
      <c r="I38" s="3">
        <v>359.49</v>
      </c>
      <c r="J38">
        <f>MONTH(H38)</f>
        <v>5</v>
      </c>
    </row>
    <row r="39" spans="1:10" ht="29.4" thickBot="1" x14ac:dyDescent="0.35">
      <c r="A39" s="2" t="s">
        <v>52</v>
      </c>
      <c r="B39" s="2" t="s">
        <v>48</v>
      </c>
      <c r="C39" s="2" t="s">
        <v>34</v>
      </c>
      <c r="D39" s="2" t="s">
        <v>27</v>
      </c>
      <c r="E39" s="3">
        <v>1410.06</v>
      </c>
      <c r="F39" s="3">
        <v>11</v>
      </c>
      <c r="G39" s="3">
        <v>0.05</v>
      </c>
      <c r="H39" s="4">
        <v>45434</v>
      </c>
      <c r="I39" s="3">
        <v>468.84</v>
      </c>
      <c r="J39">
        <f>MONTH(H39)</f>
        <v>5</v>
      </c>
    </row>
    <row r="40" spans="1:10" ht="29.4" thickBot="1" x14ac:dyDescent="0.35">
      <c r="A40" s="2" t="s">
        <v>44</v>
      </c>
      <c r="B40" s="2" t="s">
        <v>59</v>
      </c>
      <c r="C40" s="2" t="s">
        <v>34</v>
      </c>
      <c r="D40" s="2" t="s">
        <v>27</v>
      </c>
      <c r="E40" s="3">
        <v>773.09</v>
      </c>
      <c r="F40" s="3">
        <v>13</v>
      </c>
      <c r="G40" s="3">
        <v>0.15</v>
      </c>
      <c r="H40" s="4">
        <v>45434</v>
      </c>
      <c r="I40" s="3">
        <v>229.99</v>
      </c>
      <c r="J40">
        <f>MONTH(H40)</f>
        <v>5</v>
      </c>
    </row>
    <row r="41" spans="1:10" ht="15" thickBot="1" x14ac:dyDescent="0.35">
      <c r="A41" s="2" t="s">
        <v>60</v>
      </c>
      <c r="B41" s="2" t="s">
        <v>61</v>
      </c>
      <c r="C41" s="2" t="s">
        <v>18</v>
      </c>
      <c r="D41" s="2" t="s">
        <v>12</v>
      </c>
      <c r="E41" s="3">
        <v>580.42999999999995</v>
      </c>
      <c r="F41" s="3">
        <v>19</v>
      </c>
      <c r="G41" s="3">
        <v>0.15</v>
      </c>
      <c r="H41" s="4">
        <v>45435</v>
      </c>
      <c r="I41" s="3">
        <v>197.35</v>
      </c>
      <c r="J41">
        <f>MONTH(H41)</f>
        <v>5</v>
      </c>
    </row>
    <row r="42" spans="1:10" ht="15" thickBot="1" x14ac:dyDescent="0.35">
      <c r="A42" s="2" t="s">
        <v>19</v>
      </c>
      <c r="B42" s="2" t="s">
        <v>42</v>
      </c>
      <c r="C42" s="2" t="s">
        <v>20</v>
      </c>
      <c r="D42" s="2" t="s">
        <v>12</v>
      </c>
      <c r="E42" s="3">
        <v>1151.21</v>
      </c>
      <c r="F42" s="3">
        <v>15</v>
      </c>
      <c r="G42" s="3">
        <v>0.1</v>
      </c>
      <c r="H42" s="4">
        <v>45445</v>
      </c>
      <c r="I42" s="3">
        <v>414.44</v>
      </c>
      <c r="J42">
        <f>MONTH(H42)</f>
        <v>6</v>
      </c>
    </row>
    <row r="43" spans="1:10" ht="43.8" thickBot="1" x14ac:dyDescent="0.35">
      <c r="A43" s="2" t="s">
        <v>52</v>
      </c>
      <c r="B43" s="2" t="s">
        <v>23</v>
      </c>
      <c r="C43" s="2" t="s">
        <v>34</v>
      </c>
      <c r="D43" s="2" t="s">
        <v>39</v>
      </c>
      <c r="E43" s="3">
        <v>1025.98</v>
      </c>
      <c r="F43" s="3">
        <v>5</v>
      </c>
      <c r="G43" s="3">
        <v>0.2</v>
      </c>
      <c r="H43" s="4">
        <v>45447</v>
      </c>
      <c r="I43" s="3">
        <v>369.35</v>
      </c>
      <c r="J43">
        <f>MONTH(H43)</f>
        <v>6</v>
      </c>
    </row>
    <row r="44" spans="1:10" ht="43.8" thickBot="1" x14ac:dyDescent="0.35">
      <c r="A44" s="2" t="s">
        <v>40</v>
      </c>
      <c r="B44" s="2" t="s">
        <v>56</v>
      </c>
      <c r="C44" s="2" t="s">
        <v>18</v>
      </c>
      <c r="D44" s="2" t="s">
        <v>39</v>
      </c>
      <c r="E44" s="3">
        <v>556.41999999999996</v>
      </c>
      <c r="F44" s="3">
        <v>11</v>
      </c>
      <c r="G44" s="3">
        <v>0.15</v>
      </c>
      <c r="H44" s="4">
        <v>45447</v>
      </c>
      <c r="I44" s="3">
        <v>212.83</v>
      </c>
      <c r="J44">
        <f>MONTH(H44)</f>
        <v>6</v>
      </c>
    </row>
    <row r="45" spans="1:10" ht="15" thickBot="1" x14ac:dyDescent="0.35">
      <c r="A45" s="2" t="s">
        <v>57</v>
      </c>
      <c r="B45" s="2" t="s">
        <v>23</v>
      </c>
      <c r="C45" s="2" t="s">
        <v>34</v>
      </c>
      <c r="D45" s="2" t="s">
        <v>12</v>
      </c>
      <c r="E45" s="3">
        <v>840.85</v>
      </c>
      <c r="F45" s="3">
        <v>19</v>
      </c>
      <c r="G45" s="3">
        <v>0.1</v>
      </c>
      <c r="H45" s="4">
        <v>45448</v>
      </c>
      <c r="I45" s="3">
        <v>302.70999999999998</v>
      </c>
      <c r="J45">
        <f>MONTH(H45)</f>
        <v>6</v>
      </c>
    </row>
    <row r="46" spans="1:10" ht="29.4" thickBot="1" x14ac:dyDescent="0.35">
      <c r="A46" s="2" t="s">
        <v>30</v>
      </c>
      <c r="B46" s="2" t="s">
        <v>61</v>
      </c>
      <c r="C46" s="2" t="s">
        <v>24</v>
      </c>
      <c r="D46" s="2" t="s">
        <v>27</v>
      </c>
      <c r="E46" s="3">
        <v>1227.25</v>
      </c>
      <c r="F46" s="3">
        <v>12</v>
      </c>
      <c r="G46" s="3">
        <v>0.15</v>
      </c>
      <c r="H46" s="4">
        <v>45448</v>
      </c>
      <c r="I46" s="3">
        <v>365.11</v>
      </c>
      <c r="J46">
        <f>MONTH(H46)</f>
        <v>6</v>
      </c>
    </row>
    <row r="47" spans="1:10" ht="29.4" thickBot="1" x14ac:dyDescent="0.35">
      <c r="A47" s="2" t="s">
        <v>16</v>
      </c>
      <c r="B47" s="2" t="s">
        <v>62</v>
      </c>
      <c r="C47" s="2" t="s">
        <v>34</v>
      </c>
      <c r="D47" s="2" t="s">
        <v>21</v>
      </c>
      <c r="E47" s="3">
        <v>856.7</v>
      </c>
      <c r="F47" s="3">
        <v>2</v>
      </c>
      <c r="G47" s="3">
        <v>0</v>
      </c>
      <c r="H47" s="4">
        <v>45449</v>
      </c>
      <c r="I47" s="3">
        <v>214.18</v>
      </c>
      <c r="J47">
        <f>MONTH(H47)</f>
        <v>6</v>
      </c>
    </row>
    <row r="48" spans="1:10" ht="43.8" thickBot="1" x14ac:dyDescent="0.35">
      <c r="A48" s="2" t="s">
        <v>54</v>
      </c>
      <c r="B48" s="2" t="s">
        <v>56</v>
      </c>
      <c r="C48" s="2" t="s">
        <v>34</v>
      </c>
      <c r="D48" s="2" t="s">
        <v>39</v>
      </c>
      <c r="E48" s="3">
        <v>1225.42</v>
      </c>
      <c r="F48" s="3">
        <v>8</v>
      </c>
      <c r="G48" s="3">
        <v>0.15</v>
      </c>
      <c r="H48" s="4">
        <v>45449</v>
      </c>
      <c r="I48" s="3">
        <v>468.72</v>
      </c>
      <c r="J48">
        <f>MONTH(H48)</f>
        <v>6</v>
      </c>
    </row>
    <row r="49" spans="1:10" ht="43.8" thickBot="1" x14ac:dyDescent="0.35">
      <c r="A49" s="2" t="s">
        <v>63</v>
      </c>
      <c r="B49" s="2" t="s">
        <v>31</v>
      </c>
      <c r="C49" s="2" t="s">
        <v>24</v>
      </c>
      <c r="D49" s="2" t="s">
        <v>39</v>
      </c>
      <c r="E49" s="3">
        <v>1001.57</v>
      </c>
      <c r="F49" s="3">
        <v>12</v>
      </c>
      <c r="G49" s="3">
        <v>0</v>
      </c>
      <c r="H49" s="4">
        <v>45450</v>
      </c>
      <c r="I49" s="3">
        <v>450.71</v>
      </c>
      <c r="J49">
        <f>MONTH(H49)</f>
        <v>6</v>
      </c>
    </row>
    <row r="50" spans="1:10" ht="29.4" thickBot="1" x14ac:dyDescent="0.35">
      <c r="A50" s="2" t="s">
        <v>57</v>
      </c>
      <c r="B50" s="2" t="s">
        <v>26</v>
      </c>
      <c r="C50" s="2" t="s">
        <v>18</v>
      </c>
      <c r="D50" s="2" t="s">
        <v>27</v>
      </c>
      <c r="E50" s="3">
        <v>1186.8499999999999</v>
      </c>
      <c r="F50" s="3">
        <v>19</v>
      </c>
      <c r="G50" s="3">
        <v>0.2</v>
      </c>
      <c r="H50" s="4">
        <v>45451</v>
      </c>
      <c r="I50" s="3">
        <v>332.32</v>
      </c>
      <c r="J50">
        <f>MONTH(H50)</f>
        <v>6</v>
      </c>
    </row>
    <row r="51" spans="1:10" ht="29.4" thickBot="1" x14ac:dyDescent="0.35">
      <c r="A51" s="2" t="s">
        <v>44</v>
      </c>
      <c r="B51" s="2" t="s">
        <v>51</v>
      </c>
      <c r="C51" s="2" t="s">
        <v>20</v>
      </c>
      <c r="D51" s="2" t="s">
        <v>21</v>
      </c>
      <c r="E51" s="3">
        <v>775.45</v>
      </c>
      <c r="F51" s="3">
        <v>6</v>
      </c>
      <c r="G51" s="3">
        <v>0.1</v>
      </c>
      <c r="H51" s="4">
        <v>45457</v>
      </c>
      <c r="I51" s="3">
        <v>174.48</v>
      </c>
      <c r="J51">
        <f>MONTH(H51)</f>
        <v>6</v>
      </c>
    </row>
    <row r="52" spans="1:10" ht="29.4" thickBot="1" x14ac:dyDescent="0.35">
      <c r="A52" s="2" t="s">
        <v>25</v>
      </c>
      <c r="B52" s="2" t="s">
        <v>33</v>
      </c>
      <c r="C52" s="2" t="s">
        <v>20</v>
      </c>
      <c r="D52" s="2" t="s">
        <v>21</v>
      </c>
      <c r="E52" s="3">
        <v>1021.47</v>
      </c>
      <c r="F52" s="3">
        <v>6</v>
      </c>
      <c r="G52" s="3">
        <v>0.05</v>
      </c>
      <c r="H52" s="4">
        <v>45461</v>
      </c>
      <c r="I52" s="3">
        <v>242.6</v>
      </c>
      <c r="J52">
        <f>MONTH(H52)</f>
        <v>6</v>
      </c>
    </row>
    <row r="53" spans="1:10" ht="29.4" thickBot="1" x14ac:dyDescent="0.35">
      <c r="A53" s="2" t="s">
        <v>58</v>
      </c>
      <c r="B53" s="2" t="s">
        <v>23</v>
      </c>
      <c r="C53" s="2" t="s">
        <v>20</v>
      </c>
      <c r="D53" s="2" t="s">
        <v>15</v>
      </c>
      <c r="E53" s="3">
        <v>1226.6199999999999</v>
      </c>
      <c r="F53" s="3">
        <v>7</v>
      </c>
      <c r="G53" s="3">
        <v>0.1</v>
      </c>
      <c r="H53" s="4">
        <v>45463</v>
      </c>
      <c r="I53" s="3">
        <v>551.98</v>
      </c>
      <c r="J53">
        <f>MONTH(H53)</f>
        <v>6</v>
      </c>
    </row>
    <row r="54" spans="1:10" ht="29.4" thickBot="1" x14ac:dyDescent="0.35">
      <c r="A54" s="2" t="s">
        <v>22</v>
      </c>
      <c r="B54" s="2" t="s">
        <v>64</v>
      </c>
      <c r="C54" s="2" t="s">
        <v>20</v>
      </c>
      <c r="D54" s="2" t="s">
        <v>27</v>
      </c>
      <c r="E54" s="3">
        <v>1086.93</v>
      </c>
      <c r="F54" s="3">
        <v>2</v>
      </c>
      <c r="G54" s="3">
        <v>0</v>
      </c>
      <c r="H54" s="4">
        <v>45464</v>
      </c>
      <c r="I54" s="3">
        <v>380.43</v>
      </c>
      <c r="J54">
        <f>MONTH(H54)</f>
        <v>6</v>
      </c>
    </row>
    <row r="55" spans="1:10" ht="15" thickBot="1" x14ac:dyDescent="0.35">
      <c r="A55" s="2" t="s">
        <v>65</v>
      </c>
      <c r="B55" s="2" t="s">
        <v>48</v>
      </c>
      <c r="C55" s="2" t="s">
        <v>11</v>
      </c>
      <c r="D55" s="2" t="s">
        <v>12</v>
      </c>
      <c r="E55" s="3">
        <v>942.9</v>
      </c>
      <c r="F55" s="3">
        <v>18</v>
      </c>
      <c r="G55" s="3">
        <v>0.1</v>
      </c>
      <c r="H55" s="4">
        <v>45466</v>
      </c>
      <c r="I55" s="3">
        <v>339.44</v>
      </c>
      <c r="J55">
        <f>MONTH(H55)</f>
        <v>6</v>
      </c>
    </row>
    <row r="56" spans="1:10" ht="29.4" thickBot="1" x14ac:dyDescent="0.35">
      <c r="A56" s="2" t="s">
        <v>32</v>
      </c>
      <c r="B56" s="2" t="s">
        <v>38</v>
      </c>
      <c r="C56" s="2" t="s">
        <v>24</v>
      </c>
      <c r="D56" s="2" t="s">
        <v>21</v>
      </c>
      <c r="E56" s="3">
        <v>818.8</v>
      </c>
      <c r="F56" s="3">
        <v>15</v>
      </c>
      <c r="G56" s="3">
        <v>0.15</v>
      </c>
      <c r="H56" s="4">
        <v>45468</v>
      </c>
      <c r="I56" s="3">
        <v>173.99</v>
      </c>
      <c r="J56">
        <f>MONTH(H56)</f>
        <v>6</v>
      </c>
    </row>
    <row r="57" spans="1:10" ht="29.4" thickBot="1" x14ac:dyDescent="0.35">
      <c r="A57" s="2" t="s">
        <v>19</v>
      </c>
      <c r="B57" s="2" t="s">
        <v>14</v>
      </c>
      <c r="C57" s="2" t="s">
        <v>20</v>
      </c>
      <c r="D57" s="2" t="s">
        <v>27</v>
      </c>
      <c r="E57" s="3">
        <v>919.04</v>
      </c>
      <c r="F57" s="3">
        <v>10</v>
      </c>
      <c r="G57" s="3">
        <v>0.2</v>
      </c>
      <c r="H57" s="4">
        <v>45468</v>
      </c>
      <c r="I57" s="3">
        <v>257.33</v>
      </c>
      <c r="J57">
        <f>MONTH(H57)</f>
        <v>6</v>
      </c>
    </row>
    <row r="58" spans="1:10" ht="15" thickBot="1" x14ac:dyDescent="0.35">
      <c r="A58" s="2" t="s">
        <v>22</v>
      </c>
      <c r="B58" s="2" t="s">
        <v>66</v>
      </c>
      <c r="C58" s="2" t="s">
        <v>34</v>
      </c>
      <c r="D58" s="2" t="s">
        <v>12</v>
      </c>
      <c r="E58" s="3">
        <v>973.26</v>
      </c>
      <c r="F58" s="3">
        <v>11</v>
      </c>
      <c r="G58" s="3">
        <v>0</v>
      </c>
      <c r="H58" s="4">
        <v>45470</v>
      </c>
      <c r="I58" s="3">
        <v>389.3</v>
      </c>
      <c r="J58">
        <f>MONTH(H58)</f>
        <v>6</v>
      </c>
    </row>
    <row r="59" spans="1:10" ht="29.4" thickBot="1" x14ac:dyDescent="0.35">
      <c r="A59" s="2" t="s">
        <v>41</v>
      </c>
      <c r="B59" s="2" t="s">
        <v>64</v>
      </c>
      <c r="C59" s="2" t="s">
        <v>24</v>
      </c>
      <c r="D59" s="2" t="s">
        <v>21</v>
      </c>
      <c r="E59" s="3">
        <v>741.61</v>
      </c>
      <c r="F59" s="3">
        <v>1</v>
      </c>
      <c r="G59" s="3">
        <v>0.2</v>
      </c>
      <c r="H59" s="4">
        <v>45471</v>
      </c>
      <c r="I59" s="3">
        <v>148.32</v>
      </c>
      <c r="J59">
        <f>MONTH(H59)</f>
        <v>6</v>
      </c>
    </row>
    <row r="60" spans="1:10" ht="15" thickBot="1" x14ac:dyDescent="0.35">
      <c r="A60" s="2" t="s">
        <v>67</v>
      </c>
      <c r="B60" s="2" t="s">
        <v>38</v>
      </c>
      <c r="C60" s="2" t="s">
        <v>24</v>
      </c>
      <c r="D60" s="2" t="s">
        <v>12</v>
      </c>
      <c r="E60" s="3">
        <v>1248.82</v>
      </c>
      <c r="F60" s="3">
        <v>2</v>
      </c>
      <c r="G60" s="3">
        <v>0.1</v>
      </c>
      <c r="H60" s="4">
        <v>45473</v>
      </c>
      <c r="I60" s="3">
        <v>449.58</v>
      </c>
      <c r="J60">
        <f>MONTH(H60)</f>
        <v>6</v>
      </c>
    </row>
    <row r="61" spans="1:10" ht="29.4" thickBot="1" x14ac:dyDescent="0.35">
      <c r="A61" s="2" t="s">
        <v>13</v>
      </c>
      <c r="B61" s="2" t="s">
        <v>59</v>
      </c>
      <c r="C61" s="2" t="s">
        <v>11</v>
      </c>
      <c r="D61" s="2" t="s">
        <v>15</v>
      </c>
      <c r="E61" s="3">
        <v>1360.36</v>
      </c>
      <c r="F61" s="3">
        <v>17</v>
      </c>
      <c r="G61" s="3">
        <v>0</v>
      </c>
      <c r="H61" s="4">
        <v>45473</v>
      </c>
      <c r="I61" s="3">
        <v>680.18</v>
      </c>
      <c r="J61">
        <f>MONTH(H61)</f>
        <v>6</v>
      </c>
    </row>
    <row r="62" spans="1:10" ht="15" thickBot="1" x14ac:dyDescent="0.35">
      <c r="A62" s="2" t="s">
        <v>57</v>
      </c>
      <c r="B62" s="2" t="s">
        <v>31</v>
      </c>
      <c r="C62" s="2" t="s">
        <v>18</v>
      </c>
      <c r="D62" s="2" t="s">
        <v>12</v>
      </c>
      <c r="E62" s="3">
        <v>1383.3</v>
      </c>
      <c r="F62" s="3">
        <v>8</v>
      </c>
      <c r="G62" s="3">
        <v>0.1</v>
      </c>
      <c r="H62" s="4">
        <v>45478</v>
      </c>
      <c r="I62" s="3">
        <v>497.99</v>
      </c>
      <c r="J62">
        <f>MONTH(H62)</f>
        <v>7</v>
      </c>
    </row>
    <row r="63" spans="1:10" ht="43.8" thickBot="1" x14ac:dyDescent="0.35">
      <c r="A63" s="2" t="s">
        <v>35</v>
      </c>
      <c r="B63" s="2" t="s">
        <v>55</v>
      </c>
      <c r="C63" s="2" t="s">
        <v>34</v>
      </c>
      <c r="D63" s="2" t="s">
        <v>39</v>
      </c>
      <c r="E63" s="3">
        <v>488.99</v>
      </c>
      <c r="F63" s="3">
        <v>9</v>
      </c>
      <c r="G63" s="3">
        <v>0</v>
      </c>
      <c r="H63" s="4">
        <v>45479</v>
      </c>
      <c r="I63" s="3">
        <v>220.05</v>
      </c>
      <c r="J63">
        <f>MONTH(H63)</f>
        <v>7</v>
      </c>
    </row>
    <row r="64" spans="1:10" ht="29.4" thickBot="1" x14ac:dyDescent="0.35">
      <c r="A64" s="2" t="s">
        <v>30</v>
      </c>
      <c r="B64" s="2" t="s">
        <v>31</v>
      </c>
      <c r="C64" s="2" t="s">
        <v>18</v>
      </c>
      <c r="D64" s="2" t="s">
        <v>27</v>
      </c>
      <c r="E64" s="3">
        <v>933.71</v>
      </c>
      <c r="F64" s="3">
        <v>17</v>
      </c>
      <c r="G64" s="3">
        <v>0.1</v>
      </c>
      <c r="H64" s="4">
        <v>45481</v>
      </c>
      <c r="I64" s="3">
        <v>294.12</v>
      </c>
      <c r="J64">
        <f>MONTH(H64)</f>
        <v>7</v>
      </c>
    </row>
    <row r="65" spans="1:10" ht="29.4" thickBot="1" x14ac:dyDescent="0.35">
      <c r="A65" s="2" t="s">
        <v>67</v>
      </c>
      <c r="B65" s="2" t="s">
        <v>10</v>
      </c>
      <c r="C65" s="2" t="s">
        <v>11</v>
      </c>
      <c r="D65" s="2" t="s">
        <v>21</v>
      </c>
      <c r="E65" s="3">
        <v>1005.53</v>
      </c>
      <c r="F65" s="3">
        <v>17</v>
      </c>
      <c r="G65" s="3">
        <v>0.2</v>
      </c>
      <c r="H65" s="4">
        <v>45481</v>
      </c>
      <c r="I65" s="3">
        <v>201.11</v>
      </c>
      <c r="J65">
        <f>MONTH(H65)</f>
        <v>7</v>
      </c>
    </row>
    <row r="66" spans="1:10" ht="29.4" thickBot="1" x14ac:dyDescent="0.35">
      <c r="A66" s="2" t="s">
        <v>41</v>
      </c>
      <c r="B66" s="2" t="s">
        <v>61</v>
      </c>
      <c r="C66" s="2" t="s">
        <v>20</v>
      </c>
      <c r="D66" s="2" t="s">
        <v>21</v>
      </c>
      <c r="E66" s="3">
        <v>1100.0999999999999</v>
      </c>
      <c r="F66" s="3">
        <v>5</v>
      </c>
      <c r="G66" s="3">
        <v>0.05</v>
      </c>
      <c r="H66" s="4">
        <v>45482</v>
      </c>
      <c r="I66" s="3">
        <v>261.27</v>
      </c>
      <c r="J66">
        <f>MONTH(H66)</f>
        <v>7</v>
      </c>
    </row>
    <row r="67" spans="1:10" ht="29.4" thickBot="1" x14ac:dyDescent="0.35">
      <c r="A67" s="2" t="s">
        <v>67</v>
      </c>
      <c r="B67" s="2" t="s">
        <v>23</v>
      </c>
      <c r="C67" s="2" t="s">
        <v>24</v>
      </c>
      <c r="D67" s="2" t="s">
        <v>27</v>
      </c>
      <c r="E67" s="3">
        <v>1034.7</v>
      </c>
      <c r="F67" s="3">
        <v>15</v>
      </c>
      <c r="G67" s="3">
        <v>0.15</v>
      </c>
      <c r="H67" s="4">
        <v>45487</v>
      </c>
      <c r="I67" s="3">
        <v>307.82</v>
      </c>
      <c r="J67">
        <f t="shared" ref="J67:J130" si="0">MONTH(H67)</f>
        <v>7</v>
      </c>
    </row>
    <row r="68" spans="1:10" ht="15" thickBot="1" x14ac:dyDescent="0.35">
      <c r="A68" s="2" t="s">
        <v>65</v>
      </c>
      <c r="B68" s="2" t="s">
        <v>31</v>
      </c>
      <c r="C68" s="2" t="s">
        <v>20</v>
      </c>
      <c r="D68" s="2" t="s">
        <v>12</v>
      </c>
      <c r="E68" s="3">
        <v>876.44</v>
      </c>
      <c r="F68" s="3">
        <v>12</v>
      </c>
      <c r="G68" s="3">
        <v>0.05</v>
      </c>
      <c r="H68" s="4">
        <v>45488</v>
      </c>
      <c r="I68" s="3">
        <v>333.05</v>
      </c>
      <c r="J68">
        <f t="shared" si="0"/>
        <v>7</v>
      </c>
    </row>
    <row r="69" spans="1:10" ht="29.4" thickBot="1" x14ac:dyDescent="0.35">
      <c r="A69" s="2" t="s">
        <v>68</v>
      </c>
      <c r="B69" s="2" t="s">
        <v>55</v>
      </c>
      <c r="C69" s="2" t="s">
        <v>11</v>
      </c>
      <c r="D69" s="2" t="s">
        <v>27</v>
      </c>
      <c r="E69" s="3">
        <v>1371.34</v>
      </c>
      <c r="F69" s="3">
        <v>5</v>
      </c>
      <c r="G69" s="3">
        <v>0.05</v>
      </c>
      <c r="H69" s="4">
        <v>45488</v>
      </c>
      <c r="I69" s="3">
        <v>455.97</v>
      </c>
      <c r="J69">
        <f t="shared" si="0"/>
        <v>7</v>
      </c>
    </row>
    <row r="70" spans="1:10" ht="29.4" thickBot="1" x14ac:dyDescent="0.35">
      <c r="A70" s="2" t="s">
        <v>57</v>
      </c>
      <c r="B70" s="2" t="s">
        <v>47</v>
      </c>
      <c r="C70" s="2" t="s">
        <v>24</v>
      </c>
      <c r="D70" s="2" t="s">
        <v>21</v>
      </c>
      <c r="E70" s="3">
        <v>1020.26</v>
      </c>
      <c r="F70" s="3">
        <v>11</v>
      </c>
      <c r="G70" s="3">
        <v>0.05</v>
      </c>
      <c r="H70" s="4">
        <v>45494</v>
      </c>
      <c r="I70" s="3">
        <v>242.31</v>
      </c>
      <c r="J70">
        <f t="shared" si="0"/>
        <v>7</v>
      </c>
    </row>
    <row r="71" spans="1:10" ht="43.8" thickBot="1" x14ac:dyDescent="0.35">
      <c r="A71" s="2" t="s">
        <v>44</v>
      </c>
      <c r="B71" s="2" t="s">
        <v>10</v>
      </c>
      <c r="C71" s="2" t="s">
        <v>34</v>
      </c>
      <c r="D71" s="2" t="s">
        <v>39</v>
      </c>
      <c r="E71" s="3">
        <v>804.81</v>
      </c>
      <c r="F71" s="3">
        <v>1</v>
      </c>
      <c r="G71" s="3">
        <v>0.05</v>
      </c>
      <c r="H71" s="4">
        <v>45502</v>
      </c>
      <c r="I71" s="3">
        <v>344.06</v>
      </c>
      <c r="J71">
        <f t="shared" si="0"/>
        <v>7</v>
      </c>
    </row>
    <row r="72" spans="1:10" ht="29.4" thickBot="1" x14ac:dyDescent="0.35">
      <c r="A72" s="2" t="s">
        <v>22</v>
      </c>
      <c r="B72" s="2" t="s">
        <v>55</v>
      </c>
      <c r="C72" s="2" t="s">
        <v>34</v>
      </c>
      <c r="D72" s="2" t="s">
        <v>21</v>
      </c>
      <c r="E72" s="3">
        <v>608.66</v>
      </c>
      <c r="F72" s="3">
        <v>1</v>
      </c>
      <c r="G72" s="3">
        <v>0.05</v>
      </c>
      <c r="H72" s="4">
        <v>45503</v>
      </c>
      <c r="I72" s="3">
        <v>144.56</v>
      </c>
      <c r="J72">
        <f t="shared" si="0"/>
        <v>7</v>
      </c>
    </row>
    <row r="73" spans="1:10" ht="43.8" thickBot="1" x14ac:dyDescent="0.35">
      <c r="A73" s="2" t="s">
        <v>68</v>
      </c>
      <c r="B73" s="2" t="s">
        <v>69</v>
      </c>
      <c r="C73" s="2" t="s">
        <v>20</v>
      </c>
      <c r="D73" s="2" t="s">
        <v>39</v>
      </c>
      <c r="E73" s="3">
        <v>981.2</v>
      </c>
      <c r="F73" s="3">
        <v>19</v>
      </c>
      <c r="G73" s="3">
        <v>0</v>
      </c>
      <c r="H73" s="4">
        <v>45504</v>
      </c>
      <c r="I73" s="3">
        <v>441.54</v>
      </c>
      <c r="J73">
        <f t="shared" si="0"/>
        <v>7</v>
      </c>
    </row>
    <row r="74" spans="1:10" ht="29.4" thickBot="1" x14ac:dyDescent="0.35">
      <c r="A74" s="2" t="s">
        <v>70</v>
      </c>
      <c r="B74" s="2" t="s">
        <v>55</v>
      </c>
      <c r="C74" s="2" t="s">
        <v>18</v>
      </c>
      <c r="D74" s="2" t="s">
        <v>21</v>
      </c>
      <c r="E74" s="3">
        <v>539.77</v>
      </c>
      <c r="F74" s="3">
        <v>10</v>
      </c>
      <c r="G74" s="3">
        <v>0.15</v>
      </c>
      <c r="H74" s="4">
        <v>45509</v>
      </c>
      <c r="I74" s="3">
        <v>114.7</v>
      </c>
      <c r="J74">
        <f t="shared" si="0"/>
        <v>8</v>
      </c>
    </row>
    <row r="75" spans="1:10" ht="15" thickBot="1" x14ac:dyDescent="0.35">
      <c r="A75" s="2" t="s">
        <v>13</v>
      </c>
      <c r="B75" s="2" t="s">
        <v>71</v>
      </c>
      <c r="C75" s="2" t="s">
        <v>20</v>
      </c>
      <c r="D75" s="2" t="s">
        <v>12</v>
      </c>
      <c r="E75" s="3">
        <v>804.45</v>
      </c>
      <c r="F75" s="3">
        <v>5</v>
      </c>
      <c r="G75" s="3">
        <v>0.2</v>
      </c>
      <c r="H75" s="4">
        <v>45509</v>
      </c>
      <c r="I75" s="3">
        <v>257.42</v>
      </c>
      <c r="J75">
        <f t="shared" si="0"/>
        <v>8</v>
      </c>
    </row>
    <row r="76" spans="1:10" ht="29.4" thickBot="1" x14ac:dyDescent="0.35">
      <c r="A76" s="2" t="s">
        <v>70</v>
      </c>
      <c r="B76" s="2" t="s">
        <v>38</v>
      </c>
      <c r="C76" s="2" t="s">
        <v>11</v>
      </c>
      <c r="D76" s="2" t="s">
        <v>21</v>
      </c>
      <c r="E76" s="3">
        <v>1526.6</v>
      </c>
      <c r="F76" s="3">
        <v>13</v>
      </c>
      <c r="G76" s="3">
        <v>0.2</v>
      </c>
      <c r="H76" s="4">
        <v>45512</v>
      </c>
      <c r="I76" s="3">
        <v>305.32</v>
      </c>
      <c r="J76">
        <f t="shared" si="0"/>
        <v>8</v>
      </c>
    </row>
    <row r="77" spans="1:10" ht="29.4" thickBot="1" x14ac:dyDescent="0.35">
      <c r="A77" s="2" t="s">
        <v>13</v>
      </c>
      <c r="B77" s="2" t="s">
        <v>29</v>
      </c>
      <c r="C77" s="2" t="s">
        <v>11</v>
      </c>
      <c r="D77" s="2" t="s">
        <v>21</v>
      </c>
      <c r="E77" s="3">
        <v>1215.26</v>
      </c>
      <c r="F77" s="3">
        <v>5</v>
      </c>
      <c r="G77" s="3">
        <v>0.15</v>
      </c>
      <c r="H77" s="4">
        <v>45513</v>
      </c>
      <c r="I77" s="3">
        <v>258.24</v>
      </c>
      <c r="J77">
        <f t="shared" si="0"/>
        <v>8</v>
      </c>
    </row>
    <row r="78" spans="1:10" ht="29.4" thickBot="1" x14ac:dyDescent="0.35">
      <c r="A78" s="2" t="s">
        <v>19</v>
      </c>
      <c r="B78" s="2" t="s">
        <v>53</v>
      </c>
      <c r="C78" s="2" t="s">
        <v>34</v>
      </c>
      <c r="D78" s="2" t="s">
        <v>27</v>
      </c>
      <c r="E78" s="3">
        <v>1261.3399999999999</v>
      </c>
      <c r="F78" s="3">
        <v>3</v>
      </c>
      <c r="G78" s="3">
        <v>0</v>
      </c>
      <c r="H78" s="4">
        <v>45519</v>
      </c>
      <c r="I78" s="3">
        <v>441.47</v>
      </c>
      <c r="J78">
        <f t="shared" si="0"/>
        <v>8</v>
      </c>
    </row>
    <row r="79" spans="1:10" ht="29.4" thickBot="1" x14ac:dyDescent="0.35">
      <c r="A79" s="2" t="s">
        <v>72</v>
      </c>
      <c r="B79" s="2" t="s">
        <v>45</v>
      </c>
      <c r="C79" s="2" t="s">
        <v>24</v>
      </c>
      <c r="D79" s="2" t="s">
        <v>27</v>
      </c>
      <c r="E79" s="3">
        <v>518.07000000000005</v>
      </c>
      <c r="F79" s="3">
        <v>7</v>
      </c>
      <c r="G79" s="3">
        <v>0.05</v>
      </c>
      <c r="H79" s="4">
        <v>45522</v>
      </c>
      <c r="I79" s="3">
        <v>172.26</v>
      </c>
      <c r="J79">
        <f t="shared" si="0"/>
        <v>8</v>
      </c>
    </row>
    <row r="80" spans="1:10" ht="43.8" thickBot="1" x14ac:dyDescent="0.35">
      <c r="A80" s="2" t="s">
        <v>30</v>
      </c>
      <c r="B80" s="2" t="s">
        <v>29</v>
      </c>
      <c r="C80" s="2" t="s">
        <v>11</v>
      </c>
      <c r="D80" s="2" t="s">
        <v>39</v>
      </c>
      <c r="E80" s="3">
        <v>1111.3399999999999</v>
      </c>
      <c r="F80" s="3">
        <v>1</v>
      </c>
      <c r="G80" s="3">
        <v>0</v>
      </c>
      <c r="H80" s="4">
        <v>45523</v>
      </c>
      <c r="I80" s="3">
        <v>500.1</v>
      </c>
      <c r="J80">
        <f t="shared" si="0"/>
        <v>8</v>
      </c>
    </row>
    <row r="81" spans="1:10" ht="29.4" thickBot="1" x14ac:dyDescent="0.35">
      <c r="A81" s="2" t="s">
        <v>22</v>
      </c>
      <c r="B81" s="2" t="s">
        <v>31</v>
      </c>
      <c r="C81" s="2" t="s">
        <v>18</v>
      </c>
      <c r="D81" s="2" t="s">
        <v>15</v>
      </c>
      <c r="E81" s="3">
        <v>1291.47</v>
      </c>
      <c r="F81" s="3">
        <v>18</v>
      </c>
      <c r="G81" s="3">
        <v>0.1</v>
      </c>
      <c r="H81" s="4">
        <v>45526</v>
      </c>
      <c r="I81" s="3">
        <v>581.16</v>
      </c>
      <c r="J81">
        <f t="shared" si="0"/>
        <v>8</v>
      </c>
    </row>
    <row r="82" spans="1:10" ht="15" thickBot="1" x14ac:dyDescent="0.35">
      <c r="A82" s="2" t="s">
        <v>25</v>
      </c>
      <c r="B82" s="2" t="s">
        <v>55</v>
      </c>
      <c r="C82" s="2" t="s">
        <v>24</v>
      </c>
      <c r="D82" s="2" t="s">
        <v>12</v>
      </c>
      <c r="E82" s="3">
        <v>679.71</v>
      </c>
      <c r="F82" s="3">
        <v>19</v>
      </c>
      <c r="G82" s="3">
        <v>0</v>
      </c>
      <c r="H82" s="4">
        <v>45534</v>
      </c>
      <c r="I82" s="3">
        <v>271.88</v>
      </c>
      <c r="J82">
        <f t="shared" si="0"/>
        <v>8</v>
      </c>
    </row>
    <row r="83" spans="1:10" ht="29.4" thickBot="1" x14ac:dyDescent="0.35">
      <c r="A83" s="2" t="s">
        <v>68</v>
      </c>
      <c r="B83" s="2" t="s">
        <v>33</v>
      </c>
      <c r="C83" s="2" t="s">
        <v>18</v>
      </c>
      <c r="D83" s="2" t="s">
        <v>27</v>
      </c>
      <c r="E83" s="3">
        <v>1143.69</v>
      </c>
      <c r="F83" s="3">
        <v>17</v>
      </c>
      <c r="G83" s="3">
        <v>0</v>
      </c>
      <c r="H83" s="4">
        <v>45534</v>
      </c>
      <c r="I83" s="3">
        <v>400.29</v>
      </c>
      <c r="J83">
        <f t="shared" si="0"/>
        <v>8</v>
      </c>
    </row>
    <row r="84" spans="1:10" ht="29.4" thickBot="1" x14ac:dyDescent="0.35">
      <c r="A84" s="2" t="s">
        <v>52</v>
      </c>
      <c r="B84" s="2" t="s">
        <v>50</v>
      </c>
      <c r="C84" s="2" t="s">
        <v>34</v>
      </c>
      <c r="D84" s="2" t="s">
        <v>21</v>
      </c>
      <c r="E84" s="3">
        <v>790.08</v>
      </c>
      <c r="F84" s="3">
        <v>7</v>
      </c>
      <c r="G84" s="3">
        <v>0.1</v>
      </c>
      <c r="H84" s="4">
        <v>45536</v>
      </c>
      <c r="I84" s="3">
        <v>177.77</v>
      </c>
      <c r="J84">
        <f t="shared" si="0"/>
        <v>9</v>
      </c>
    </row>
    <row r="85" spans="1:10" ht="15" thickBot="1" x14ac:dyDescent="0.35">
      <c r="A85" s="2" t="s">
        <v>19</v>
      </c>
      <c r="B85" s="2" t="s">
        <v>48</v>
      </c>
      <c r="C85" s="2" t="s">
        <v>34</v>
      </c>
      <c r="D85" s="2" t="s">
        <v>12</v>
      </c>
      <c r="E85" s="3">
        <v>1070.68</v>
      </c>
      <c r="F85" s="3">
        <v>7</v>
      </c>
      <c r="G85" s="3">
        <v>0.05</v>
      </c>
      <c r="H85" s="4">
        <v>45536</v>
      </c>
      <c r="I85" s="3">
        <v>406.86</v>
      </c>
      <c r="J85">
        <f t="shared" si="0"/>
        <v>9</v>
      </c>
    </row>
    <row r="86" spans="1:10" ht="29.4" thickBot="1" x14ac:dyDescent="0.35">
      <c r="A86" s="2" t="s">
        <v>58</v>
      </c>
      <c r="B86" s="2" t="s">
        <v>36</v>
      </c>
      <c r="C86" s="2" t="s">
        <v>11</v>
      </c>
      <c r="D86" s="2" t="s">
        <v>15</v>
      </c>
      <c r="E86" s="3">
        <v>1168.8900000000001</v>
      </c>
      <c r="F86" s="3">
        <v>4</v>
      </c>
      <c r="G86" s="3">
        <v>0.1</v>
      </c>
      <c r="H86" s="4">
        <v>45544</v>
      </c>
      <c r="I86" s="3">
        <v>526</v>
      </c>
      <c r="J86">
        <f t="shared" si="0"/>
        <v>9</v>
      </c>
    </row>
    <row r="87" spans="1:10" ht="29.4" thickBot="1" x14ac:dyDescent="0.35">
      <c r="A87" s="2" t="s">
        <v>67</v>
      </c>
      <c r="B87" s="2" t="s">
        <v>10</v>
      </c>
      <c r="C87" s="2" t="s">
        <v>20</v>
      </c>
      <c r="D87" s="2" t="s">
        <v>21</v>
      </c>
      <c r="E87" s="3">
        <v>1335.87</v>
      </c>
      <c r="F87" s="3">
        <v>17</v>
      </c>
      <c r="G87" s="3">
        <v>0</v>
      </c>
      <c r="H87" s="4">
        <v>45544</v>
      </c>
      <c r="I87" s="3">
        <v>333.97</v>
      </c>
      <c r="J87">
        <f t="shared" si="0"/>
        <v>9</v>
      </c>
    </row>
    <row r="88" spans="1:10" ht="29.4" thickBot="1" x14ac:dyDescent="0.35">
      <c r="A88" s="2" t="s">
        <v>40</v>
      </c>
      <c r="B88" s="2" t="s">
        <v>55</v>
      </c>
      <c r="C88" s="2" t="s">
        <v>18</v>
      </c>
      <c r="D88" s="2" t="s">
        <v>27</v>
      </c>
      <c r="E88" s="3">
        <v>873.7</v>
      </c>
      <c r="F88" s="3">
        <v>9</v>
      </c>
      <c r="G88" s="3">
        <v>0</v>
      </c>
      <c r="H88" s="4">
        <v>45546</v>
      </c>
      <c r="I88" s="3">
        <v>305.8</v>
      </c>
      <c r="J88">
        <f t="shared" si="0"/>
        <v>9</v>
      </c>
    </row>
    <row r="89" spans="1:10" ht="43.8" thickBot="1" x14ac:dyDescent="0.35">
      <c r="A89" s="2" t="s">
        <v>72</v>
      </c>
      <c r="B89" s="2" t="s">
        <v>64</v>
      </c>
      <c r="C89" s="2" t="s">
        <v>11</v>
      </c>
      <c r="D89" s="2" t="s">
        <v>39</v>
      </c>
      <c r="E89" s="3">
        <v>1443.98</v>
      </c>
      <c r="F89" s="3">
        <v>19</v>
      </c>
      <c r="G89" s="3">
        <v>0</v>
      </c>
      <c r="H89" s="4">
        <v>45547</v>
      </c>
      <c r="I89" s="3">
        <v>649.79</v>
      </c>
      <c r="J89">
        <f t="shared" si="0"/>
        <v>9</v>
      </c>
    </row>
    <row r="90" spans="1:10" ht="43.8" thickBot="1" x14ac:dyDescent="0.35">
      <c r="A90" s="2" t="s">
        <v>40</v>
      </c>
      <c r="B90" s="2" t="s">
        <v>23</v>
      </c>
      <c r="C90" s="2" t="s">
        <v>18</v>
      </c>
      <c r="D90" s="2" t="s">
        <v>39</v>
      </c>
      <c r="E90" s="3">
        <v>1154.33</v>
      </c>
      <c r="F90" s="3">
        <v>11</v>
      </c>
      <c r="G90" s="3">
        <v>0.15</v>
      </c>
      <c r="H90" s="4">
        <v>45549</v>
      </c>
      <c r="I90" s="3">
        <v>441.53</v>
      </c>
      <c r="J90">
        <f t="shared" si="0"/>
        <v>9</v>
      </c>
    </row>
    <row r="91" spans="1:10" ht="15" thickBot="1" x14ac:dyDescent="0.35">
      <c r="A91" s="2" t="s">
        <v>49</v>
      </c>
      <c r="B91" s="2" t="s">
        <v>50</v>
      </c>
      <c r="C91" s="2" t="s">
        <v>20</v>
      </c>
      <c r="D91" s="2" t="s">
        <v>12</v>
      </c>
      <c r="E91" s="3">
        <v>1264.49</v>
      </c>
      <c r="F91" s="3">
        <v>16</v>
      </c>
      <c r="G91" s="3">
        <v>0.05</v>
      </c>
      <c r="H91" s="4">
        <v>45549</v>
      </c>
      <c r="I91" s="3">
        <v>480.51</v>
      </c>
      <c r="J91">
        <f t="shared" si="0"/>
        <v>9</v>
      </c>
    </row>
    <row r="92" spans="1:10" ht="29.4" thickBot="1" x14ac:dyDescent="0.35">
      <c r="A92" s="2" t="s">
        <v>25</v>
      </c>
      <c r="B92" s="2" t="s">
        <v>66</v>
      </c>
      <c r="C92" s="2" t="s">
        <v>11</v>
      </c>
      <c r="D92" s="2" t="s">
        <v>27</v>
      </c>
      <c r="E92" s="3">
        <v>1101.55</v>
      </c>
      <c r="F92" s="3">
        <v>4</v>
      </c>
      <c r="G92" s="3">
        <v>0.1</v>
      </c>
      <c r="H92" s="4">
        <v>45551</v>
      </c>
      <c r="I92" s="3">
        <v>346.99</v>
      </c>
      <c r="J92">
        <f t="shared" si="0"/>
        <v>9</v>
      </c>
    </row>
    <row r="93" spans="1:10" ht="29.4" thickBot="1" x14ac:dyDescent="0.35">
      <c r="A93" s="2" t="s">
        <v>73</v>
      </c>
      <c r="B93" s="2" t="s">
        <v>14</v>
      </c>
      <c r="C93" s="2" t="s">
        <v>20</v>
      </c>
      <c r="D93" s="2" t="s">
        <v>27</v>
      </c>
      <c r="E93" s="3">
        <v>727.73</v>
      </c>
      <c r="F93" s="3">
        <v>1</v>
      </c>
      <c r="G93" s="3">
        <v>0.1</v>
      </c>
      <c r="H93" s="4">
        <v>45552</v>
      </c>
      <c r="I93" s="3">
        <v>229.23</v>
      </c>
      <c r="J93">
        <f t="shared" si="0"/>
        <v>9</v>
      </c>
    </row>
    <row r="94" spans="1:10" ht="43.8" thickBot="1" x14ac:dyDescent="0.35">
      <c r="A94" s="2" t="s">
        <v>74</v>
      </c>
      <c r="B94" s="2" t="s">
        <v>38</v>
      </c>
      <c r="C94" s="2" t="s">
        <v>18</v>
      </c>
      <c r="D94" s="2" t="s">
        <v>39</v>
      </c>
      <c r="E94" s="3">
        <v>875.41</v>
      </c>
      <c r="F94" s="3">
        <v>13</v>
      </c>
      <c r="G94" s="3">
        <v>0.15</v>
      </c>
      <c r="H94" s="4">
        <v>45552</v>
      </c>
      <c r="I94" s="3">
        <v>334.84</v>
      </c>
      <c r="J94">
        <f t="shared" si="0"/>
        <v>9</v>
      </c>
    </row>
    <row r="95" spans="1:10" ht="29.4" thickBot="1" x14ac:dyDescent="0.35">
      <c r="A95" s="2" t="s">
        <v>67</v>
      </c>
      <c r="B95" s="2" t="s">
        <v>23</v>
      </c>
      <c r="C95" s="2" t="s">
        <v>11</v>
      </c>
      <c r="D95" s="2" t="s">
        <v>21</v>
      </c>
      <c r="E95" s="3">
        <v>1158.94</v>
      </c>
      <c r="F95" s="3">
        <v>19</v>
      </c>
      <c r="G95" s="3">
        <v>0.2</v>
      </c>
      <c r="H95" s="4">
        <v>45553</v>
      </c>
      <c r="I95" s="3">
        <v>231.79</v>
      </c>
      <c r="J95">
        <f t="shared" si="0"/>
        <v>9</v>
      </c>
    </row>
    <row r="96" spans="1:10" ht="15" thickBot="1" x14ac:dyDescent="0.35">
      <c r="A96" s="2" t="s">
        <v>75</v>
      </c>
      <c r="B96" s="2" t="s">
        <v>47</v>
      </c>
      <c r="C96" s="2" t="s">
        <v>20</v>
      </c>
      <c r="D96" s="2" t="s">
        <v>12</v>
      </c>
      <c r="E96" s="3">
        <v>966.3</v>
      </c>
      <c r="F96" s="3">
        <v>2</v>
      </c>
      <c r="G96" s="3">
        <v>0.15</v>
      </c>
      <c r="H96" s="4">
        <v>45557</v>
      </c>
      <c r="I96" s="3">
        <v>328.54</v>
      </c>
      <c r="J96">
        <f t="shared" si="0"/>
        <v>9</v>
      </c>
    </row>
    <row r="97" spans="1:10" ht="15" thickBot="1" x14ac:dyDescent="0.35">
      <c r="A97" s="2" t="s">
        <v>68</v>
      </c>
      <c r="B97" s="2" t="s">
        <v>17</v>
      </c>
      <c r="C97" s="2" t="s">
        <v>20</v>
      </c>
      <c r="D97" s="2" t="s">
        <v>12</v>
      </c>
      <c r="E97" s="3">
        <v>917.48</v>
      </c>
      <c r="F97" s="3">
        <v>6</v>
      </c>
      <c r="G97" s="3">
        <v>0</v>
      </c>
      <c r="H97" s="4">
        <v>45558</v>
      </c>
      <c r="I97" s="3">
        <v>366.99</v>
      </c>
      <c r="J97">
        <f t="shared" si="0"/>
        <v>9</v>
      </c>
    </row>
    <row r="98" spans="1:10" ht="29.4" thickBot="1" x14ac:dyDescent="0.35">
      <c r="A98" s="2" t="s">
        <v>41</v>
      </c>
      <c r="B98" s="2" t="s">
        <v>61</v>
      </c>
      <c r="C98" s="2" t="s">
        <v>11</v>
      </c>
      <c r="D98" s="2" t="s">
        <v>27</v>
      </c>
      <c r="E98" s="3">
        <v>1172.97</v>
      </c>
      <c r="F98" s="3">
        <v>7</v>
      </c>
      <c r="G98" s="3">
        <v>0.15</v>
      </c>
      <c r="H98" s="4">
        <v>45559</v>
      </c>
      <c r="I98" s="3">
        <v>348.96</v>
      </c>
      <c r="J98">
        <f t="shared" si="0"/>
        <v>9</v>
      </c>
    </row>
    <row r="99" spans="1:10" ht="29.4" thickBot="1" x14ac:dyDescent="0.35">
      <c r="A99" s="2" t="s">
        <v>57</v>
      </c>
      <c r="B99" s="2" t="s">
        <v>23</v>
      </c>
      <c r="C99" s="2" t="s">
        <v>24</v>
      </c>
      <c r="D99" s="2" t="s">
        <v>15</v>
      </c>
      <c r="E99" s="3">
        <v>1205.82</v>
      </c>
      <c r="F99" s="3">
        <v>11</v>
      </c>
      <c r="G99" s="3">
        <v>0.1</v>
      </c>
      <c r="H99" s="4">
        <v>45559</v>
      </c>
      <c r="I99" s="3">
        <v>542.62</v>
      </c>
      <c r="J99">
        <f t="shared" si="0"/>
        <v>9</v>
      </c>
    </row>
    <row r="100" spans="1:10" ht="43.8" thickBot="1" x14ac:dyDescent="0.35">
      <c r="A100" s="2" t="s">
        <v>16</v>
      </c>
      <c r="B100" s="2" t="s">
        <v>64</v>
      </c>
      <c r="C100" s="2" t="s">
        <v>11</v>
      </c>
      <c r="D100" s="2" t="s">
        <v>39</v>
      </c>
      <c r="E100" s="3">
        <v>826.93</v>
      </c>
      <c r="F100" s="3">
        <v>10</v>
      </c>
      <c r="G100" s="3">
        <v>0.2</v>
      </c>
      <c r="H100" s="4">
        <v>45564</v>
      </c>
      <c r="I100" s="3">
        <v>297.69</v>
      </c>
      <c r="J100">
        <f t="shared" si="0"/>
        <v>9</v>
      </c>
    </row>
    <row r="101" spans="1:10" ht="29.4" thickBot="1" x14ac:dyDescent="0.35">
      <c r="A101" s="2" t="s">
        <v>67</v>
      </c>
      <c r="B101" s="2" t="s">
        <v>23</v>
      </c>
      <c r="C101" s="2" t="s">
        <v>34</v>
      </c>
      <c r="D101" s="2" t="s">
        <v>15</v>
      </c>
      <c r="E101" s="3">
        <v>902.19</v>
      </c>
      <c r="F101" s="3">
        <v>12</v>
      </c>
      <c r="G101" s="3">
        <v>0</v>
      </c>
      <c r="H101" s="4">
        <v>45564</v>
      </c>
      <c r="I101" s="3">
        <v>451.1</v>
      </c>
      <c r="J101">
        <f t="shared" si="0"/>
        <v>9</v>
      </c>
    </row>
    <row r="102" spans="1:10" ht="15" thickBot="1" x14ac:dyDescent="0.35">
      <c r="A102" s="2" t="s">
        <v>74</v>
      </c>
      <c r="B102" s="2" t="s">
        <v>38</v>
      </c>
      <c r="C102" s="2" t="s">
        <v>24</v>
      </c>
      <c r="D102" s="2" t="s">
        <v>12</v>
      </c>
      <c r="E102" s="3">
        <v>585.97</v>
      </c>
      <c r="F102" s="3">
        <v>17</v>
      </c>
      <c r="G102" s="3">
        <v>0.1</v>
      </c>
      <c r="H102" s="4">
        <v>45565</v>
      </c>
      <c r="I102" s="3">
        <v>210.95</v>
      </c>
      <c r="J102">
        <f t="shared" si="0"/>
        <v>9</v>
      </c>
    </row>
    <row r="103" spans="1:10" ht="29.4" thickBot="1" x14ac:dyDescent="0.35">
      <c r="A103" s="2" t="s">
        <v>60</v>
      </c>
      <c r="B103" s="2" t="s">
        <v>26</v>
      </c>
      <c r="C103" s="2" t="s">
        <v>24</v>
      </c>
      <c r="D103" s="2" t="s">
        <v>15</v>
      </c>
      <c r="E103" s="3">
        <v>990.19</v>
      </c>
      <c r="F103" s="3">
        <v>8</v>
      </c>
      <c r="G103" s="3">
        <v>0.1</v>
      </c>
      <c r="H103" s="4">
        <v>45565</v>
      </c>
      <c r="I103" s="3">
        <v>445.59</v>
      </c>
      <c r="J103">
        <f t="shared" si="0"/>
        <v>9</v>
      </c>
    </row>
    <row r="104" spans="1:10" ht="29.4" thickBot="1" x14ac:dyDescent="0.35">
      <c r="A104" s="2" t="s">
        <v>44</v>
      </c>
      <c r="B104" s="2" t="s">
        <v>56</v>
      </c>
      <c r="C104" s="2" t="s">
        <v>34</v>
      </c>
      <c r="D104" s="2" t="s">
        <v>21</v>
      </c>
      <c r="E104" s="3">
        <v>1014.09</v>
      </c>
      <c r="F104" s="3">
        <v>13</v>
      </c>
      <c r="G104" s="3">
        <v>0.2</v>
      </c>
      <c r="H104" s="4">
        <v>45567</v>
      </c>
      <c r="I104" s="3">
        <v>202.82</v>
      </c>
      <c r="J104">
        <f t="shared" si="0"/>
        <v>10</v>
      </c>
    </row>
    <row r="105" spans="1:10" ht="29.4" thickBot="1" x14ac:dyDescent="0.35">
      <c r="A105" s="2" t="s">
        <v>13</v>
      </c>
      <c r="B105" s="2" t="s">
        <v>48</v>
      </c>
      <c r="C105" s="2" t="s">
        <v>24</v>
      </c>
      <c r="D105" s="2" t="s">
        <v>21</v>
      </c>
      <c r="E105" s="3">
        <v>925.29</v>
      </c>
      <c r="F105" s="3">
        <v>17</v>
      </c>
      <c r="G105" s="3">
        <v>0</v>
      </c>
      <c r="H105" s="4">
        <v>45570</v>
      </c>
      <c r="I105" s="3">
        <v>231.32</v>
      </c>
      <c r="J105">
        <f t="shared" si="0"/>
        <v>10</v>
      </c>
    </row>
    <row r="106" spans="1:10" ht="29.4" thickBot="1" x14ac:dyDescent="0.35">
      <c r="A106" s="2" t="s">
        <v>54</v>
      </c>
      <c r="B106" s="2" t="s">
        <v>47</v>
      </c>
      <c r="C106" s="2" t="s">
        <v>18</v>
      </c>
      <c r="D106" s="2" t="s">
        <v>27</v>
      </c>
      <c r="E106" s="3">
        <v>1286.54</v>
      </c>
      <c r="F106" s="3">
        <v>8</v>
      </c>
      <c r="G106" s="3">
        <v>0</v>
      </c>
      <c r="H106" s="4">
        <v>45575</v>
      </c>
      <c r="I106" s="3">
        <v>450.29</v>
      </c>
      <c r="J106">
        <f t="shared" si="0"/>
        <v>10</v>
      </c>
    </row>
    <row r="107" spans="1:10" ht="15" thickBot="1" x14ac:dyDescent="0.35">
      <c r="A107" s="2" t="s">
        <v>37</v>
      </c>
      <c r="B107" s="2" t="s">
        <v>64</v>
      </c>
      <c r="C107" s="2" t="s">
        <v>20</v>
      </c>
      <c r="D107" s="2" t="s">
        <v>12</v>
      </c>
      <c r="E107" s="3">
        <v>961.62</v>
      </c>
      <c r="F107" s="3">
        <v>8</v>
      </c>
      <c r="G107" s="3">
        <v>0.2</v>
      </c>
      <c r="H107" s="4">
        <v>45577</v>
      </c>
      <c r="I107" s="3">
        <v>307.72000000000003</v>
      </c>
      <c r="J107">
        <f t="shared" si="0"/>
        <v>10</v>
      </c>
    </row>
    <row r="108" spans="1:10" ht="15" thickBot="1" x14ac:dyDescent="0.35">
      <c r="A108" s="2" t="s">
        <v>44</v>
      </c>
      <c r="B108" s="2" t="s">
        <v>23</v>
      </c>
      <c r="C108" s="2" t="s">
        <v>18</v>
      </c>
      <c r="D108" s="2" t="s">
        <v>12</v>
      </c>
      <c r="E108" s="3">
        <v>1081.1400000000001</v>
      </c>
      <c r="F108" s="3">
        <v>19</v>
      </c>
      <c r="G108" s="3">
        <v>0.15</v>
      </c>
      <c r="H108" s="4">
        <v>45577</v>
      </c>
      <c r="I108" s="3">
        <v>367.59</v>
      </c>
      <c r="J108">
        <f t="shared" si="0"/>
        <v>10</v>
      </c>
    </row>
    <row r="109" spans="1:10" ht="29.4" thickBot="1" x14ac:dyDescent="0.35">
      <c r="A109" s="2" t="s">
        <v>58</v>
      </c>
      <c r="B109" s="2" t="s">
        <v>23</v>
      </c>
      <c r="C109" s="2" t="s">
        <v>11</v>
      </c>
      <c r="D109" s="2" t="s">
        <v>15</v>
      </c>
      <c r="E109" s="3">
        <v>1923.66</v>
      </c>
      <c r="F109" s="3">
        <v>9</v>
      </c>
      <c r="G109" s="3">
        <v>0.2</v>
      </c>
      <c r="H109" s="4">
        <v>45580</v>
      </c>
      <c r="I109" s="3">
        <v>769.46</v>
      </c>
      <c r="J109">
        <f t="shared" si="0"/>
        <v>10</v>
      </c>
    </row>
    <row r="110" spans="1:10" ht="29.4" thickBot="1" x14ac:dyDescent="0.35">
      <c r="A110" s="2" t="s">
        <v>54</v>
      </c>
      <c r="B110" s="2" t="s">
        <v>66</v>
      </c>
      <c r="C110" s="2" t="s">
        <v>34</v>
      </c>
      <c r="D110" s="2" t="s">
        <v>15</v>
      </c>
      <c r="E110" s="3">
        <v>728.71</v>
      </c>
      <c r="F110" s="3">
        <v>14</v>
      </c>
      <c r="G110" s="3">
        <v>0.1</v>
      </c>
      <c r="H110" s="4">
        <v>45581</v>
      </c>
      <c r="I110" s="3">
        <v>327.92</v>
      </c>
      <c r="J110">
        <f t="shared" si="0"/>
        <v>10</v>
      </c>
    </row>
    <row r="111" spans="1:10" ht="29.4" thickBot="1" x14ac:dyDescent="0.35">
      <c r="A111" s="2" t="s">
        <v>9</v>
      </c>
      <c r="B111" s="2" t="s">
        <v>33</v>
      </c>
      <c r="C111" s="2" t="s">
        <v>34</v>
      </c>
      <c r="D111" s="2" t="s">
        <v>15</v>
      </c>
      <c r="E111" s="3">
        <v>1301.8900000000001</v>
      </c>
      <c r="F111" s="3">
        <v>7</v>
      </c>
      <c r="G111" s="3">
        <v>0.15</v>
      </c>
      <c r="H111" s="4">
        <v>45581</v>
      </c>
      <c r="I111" s="3">
        <v>553.29999999999995</v>
      </c>
      <c r="J111">
        <f t="shared" si="0"/>
        <v>10</v>
      </c>
    </row>
    <row r="112" spans="1:10" ht="15" thickBot="1" x14ac:dyDescent="0.35">
      <c r="A112" s="2" t="s">
        <v>70</v>
      </c>
      <c r="B112" s="2" t="s">
        <v>66</v>
      </c>
      <c r="C112" s="2" t="s">
        <v>18</v>
      </c>
      <c r="D112" s="2" t="s">
        <v>12</v>
      </c>
      <c r="E112" s="3">
        <v>980.18</v>
      </c>
      <c r="F112" s="3">
        <v>16</v>
      </c>
      <c r="G112" s="3">
        <v>0.1</v>
      </c>
      <c r="H112" s="4">
        <v>45582</v>
      </c>
      <c r="I112" s="3">
        <v>352.86</v>
      </c>
      <c r="J112">
        <f t="shared" si="0"/>
        <v>10</v>
      </c>
    </row>
    <row r="113" spans="1:10" ht="29.4" thickBot="1" x14ac:dyDescent="0.35">
      <c r="A113" s="2" t="s">
        <v>74</v>
      </c>
      <c r="B113" s="2" t="s">
        <v>23</v>
      </c>
      <c r="C113" s="2" t="s">
        <v>11</v>
      </c>
      <c r="D113" s="2" t="s">
        <v>15</v>
      </c>
      <c r="E113" s="3">
        <v>697.57</v>
      </c>
      <c r="F113" s="3">
        <v>17</v>
      </c>
      <c r="G113" s="3">
        <v>0.1</v>
      </c>
      <c r="H113" s="4">
        <v>45584</v>
      </c>
      <c r="I113" s="3">
        <v>313.91000000000003</v>
      </c>
      <c r="J113">
        <f t="shared" si="0"/>
        <v>10</v>
      </c>
    </row>
    <row r="114" spans="1:10" ht="29.4" thickBot="1" x14ac:dyDescent="0.35">
      <c r="A114" s="2" t="s">
        <v>46</v>
      </c>
      <c r="B114" s="2" t="s">
        <v>71</v>
      </c>
      <c r="C114" s="2" t="s">
        <v>11</v>
      </c>
      <c r="D114" s="2" t="s">
        <v>27</v>
      </c>
      <c r="E114" s="3">
        <v>1193.6099999999999</v>
      </c>
      <c r="F114" s="3">
        <v>1</v>
      </c>
      <c r="G114" s="3">
        <v>0.15</v>
      </c>
      <c r="H114" s="4">
        <v>45584</v>
      </c>
      <c r="I114" s="3">
        <v>355.1</v>
      </c>
      <c r="J114">
        <f t="shared" si="0"/>
        <v>10</v>
      </c>
    </row>
    <row r="115" spans="1:10" ht="29.4" thickBot="1" x14ac:dyDescent="0.35">
      <c r="A115" s="2" t="s">
        <v>32</v>
      </c>
      <c r="B115" s="2" t="s">
        <v>38</v>
      </c>
      <c r="C115" s="2" t="s">
        <v>20</v>
      </c>
      <c r="D115" s="2" t="s">
        <v>21</v>
      </c>
      <c r="E115" s="3">
        <v>771.02</v>
      </c>
      <c r="F115" s="3">
        <v>1</v>
      </c>
      <c r="G115" s="3">
        <v>0</v>
      </c>
      <c r="H115" s="4">
        <v>45585</v>
      </c>
      <c r="I115" s="3">
        <v>192.76</v>
      </c>
      <c r="J115">
        <f t="shared" si="0"/>
        <v>10</v>
      </c>
    </row>
    <row r="116" spans="1:10" ht="29.4" thickBot="1" x14ac:dyDescent="0.35">
      <c r="A116" s="2" t="s">
        <v>67</v>
      </c>
      <c r="B116" s="2" t="s">
        <v>69</v>
      </c>
      <c r="C116" s="2" t="s">
        <v>24</v>
      </c>
      <c r="D116" s="2" t="s">
        <v>15</v>
      </c>
      <c r="E116" s="3">
        <v>661.09</v>
      </c>
      <c r="F116" s="3">
        <v>1</v>
      </c>
      <c r="G116" s="3">
        <v>0.2</v>
      </c>
      <c r="H116" s="4">
        <v>45593</v>
      </c>
      <c r="I116" s="3">
        <v>264.44</v>
      </c>
      <c r="J116">
        <f t="shared" si="0"/>
        <v>10</v>
      </c>
    </row>
    <row r="117" spans="1:10" ht="29.4" thickBot="1" x14ac:dyDescent="0.35">
      <c r="A117" s="2" t="s">
        <v>13</v>
      </c>
      <c r="B117" s="2" t="s">
        <v>55</v>
      </c>
      <c r="C117" s="2" t="s">
        <v>11</v>
      </c>
      <c r="D117" s="2" t="s">
        <v>21</v>
      </c>
      <c r="E117" s="3">
        <v>688.83</v>
      </c>
      <c r="F117" s="3">
        <v>15</v>
      </c>
      <c r="G117" s="3">
        <v>0</v>
      </c>
      <c r="H117" s="4">
        <v>45595</v>
      </c>
      <c r="I117" s="3">
        <v>172.21</v>
      </c>
      <c r="J117">
        <f t="shared" si="0"/>
        <v>10</v>
      </c>
    </row>
    <row r="118" spans="1:10" ht="15" thickBot="1" x14ac:dyDescent="0.35">
      <c r="A118" s="2" t="s">
        <v>73</v>
      </c>
      <c r="B118" s="2" t="s">
        <v>29</v>
      </c>
      <c r="C118" s="2" t="s">
        <v>34</v>
      </c>
      <c r="D118" s="2" t="s">
        <v>12</v>
      </c>
      <c r="E118" s="3">
        <v>1249.0999999999999</v>
      </c>
      <c r="F118" s="3">
        <v>4</v>
      </c>
      <c r="G118" s="3">
        <v>0.05</v>
      </c>
      <c r="H118" s="4">
        <v>45597</v>
      </c>
      <c r="I118" s="3">
        <v>474.66</v>
      </c>
      <c r="J118">
        <f t="shared" si="0"/>
        <v>11</v>
      </c>
    </row>
    <row r="119" spans="1:10" ht="43.8" thickBot="1" x14ac:dyDescent="0.35">
      <c r="A119" s="2" t="s">
        <v>44</v>
      </c>
      <c r="B119" s="2" t="s">
        <v>23</v>
      </c>
      <c r="C119" s="2" t="s">
        <v>18</v>
      </c>
      <c r="D119" s="2" t="s">
        <v>39</v>
      </c>
      <c r="E119" s="3">
        <v>1014.22</v>
      </c>
      <c r="F119" s="3">
        <v>14</v>
      </c>
      <c r="G119" s="3">
        <v>0.05</v>
      </c>
      <c r="H119" s="4">
        <v>45599</v>
      </c>
      <c r="I119" s="3">
        <v>433.58</v>
      </c>
      <c r="J119">
        <f t="shared" si="0"/>
        <v>11</v>
      </c>
    </row>
    <row r="120" spans="1:10" ht="15" thickBot="1" x14ac:dyDescent="0.35">
      <c r="A120" s="2" t="s">
        <v>54</v>
      </c>
      <c r="B120" s="2" t="s">
        <v>48</v>
      </c>
      <c r="C120" s="2" t="s">
        <v>18</v>
      </c>
      <c r="D120" s="2" t="s">
        <v>12</v>
      </c>
      <c r="E120" s="3">
        <v>1010.58</v>
      </c>
      <c r="F120" s="3">
        <v>2</v>
      </c>
      <c r="G120" s="3">
        <v>0.15</v>
      </c>
      <c r="H120" s="4">
        <v>45605</v>
      </c>
      <c r="I120" s="3">
        <v>343.6</v>
      </c>
      <c r="J120">
        <f t="shared" si="0"/>
        <v>11</v>
      </c>
    </row>
    <row r="121" spans="1:10" ht="29.4" thickBot="1" x14ac:dyDescent="0.35">
      <c r="A121" s="2" t="s">
        <v>30</v>
      </c>
      <c r="B121" s="2" t="s">
        <v>59</v>
      </c>
      <c r="C121" s="2" t="s">
        <v>24</v>
      </c>
      <c r="D121" s="2" t="s">
        <v>27</v>
      </c>
      <c r="E121" s="3">
        <v>957.29</v>
      </c>
      <c r="F121" s="3">
        <v>4</v>
      </c>
      <c r="G121" s="3">
        <v>0.05</v>
      </c>
      <c r="H121" s="4">
        <v>45605</v>
      </c>
      <c r="I121" s="3">
        <v>318.3</v>
      </c>
      <c r="J121">
        <f t="shared" si="0"/>
        <v>11</v>
      </c>
    </row>
    <row r="122" spans="1:10" ht="29.4" thickBot="1" x14ac:dyDescent="0.35">
      <c r="A122" s="2" t="s">
        <v>28</v>
      </c>
      <c r="B122" s="2" t="s">
        <v>45</v>
      </c>
      <c r="C122" s="2" t="s">
        <v>24</v>
      </c>
      <c r="D122" s="2" t="s">
        <v>27</v>
      </c>
      <c r="E122" s="3">
        <v>1077.92</v>
      </c>
      <c r="F122" s="3">
        <v>3</v>
      </c>
      <c r="G122" s="3">
        <v>0.05</v>
      </c>
      <c r="H122" s="4">
        <v>45608</v>
      </c>
      <c r="I122" s="3">
        <v>358.41</v>
      </c>
      <c r="J122">
        <f t="shared" si="0"/>
        <v>11</v>
      </c>
    </row>
    <row r="123" spans="1:10" ht="29.4" thickBot="1" x14ac:dyDescent="0.35">
      <c r="A123" s="2" t="s">
        <v>52</v>
      </c>
      <c r="B123" s="2" t="s">
        <v>50</v>
      </c>
      <c r="C123" s="2" t="s">
        <v>20</v>
      </c>
      <c r="D123" s="2" t="s">
        <v>15</v>
      </c>
      <c r="E123" s="3">
        <v>1163.01</v>
      </c>
      <c r="F123" s="3">
        <v>5</v>
      </c>
      <c r="G123" s="3">
        <v>0</v>
      </c>
      <c r="H123" s="4">
        <v>45611</v>
      </c>
      <c r="I123" s="3">
        <v>581.5</v>
      </c>
      <c r="J123">
        <f t="shared" si="0"/>
        <v>11</v>
      </c>
    </row>
    <row r="124" spans="1:10" ht="43.8" thickBot="1" x14ac:dyDescent="0.35">
      <c r="A124" s="2" t="s">
        <v>54</v>
      </c>
      <c r="B124" s="2" t="s">
        <v>45</v>
      </c>
      <c r="C124" s="2" t="s">
        <v>18</v>
      </c>
      <c r="D124" s="2" t="s">
        <v>39</v>
      </c>
      <c r="E124" s="3">
        <v>1014.56</v>
      </c>
      <c r="F124" s="3">
        <v>10</v>
      </c>
      <c r="G124" s="3">
        <v>0.1</v>
      </c>
      <c r="H124" s="4">
        <v>45612</v>
      </c>
      <c r="I124" s="3">
        <v>410.9</v>
      </c>
      <c r="J124">
        <f t="shared" si="0"/>
        <v>11</v>
      </c>
    </row>
    <row r="125" spans="1:10" ht="29.4" thickBot="1" x14ac:dyDescent="0.35">
      <c r="A125" s="2" t="s">
        <v>9</v>
      </c>
      <c r="B125" s="2" t="s">
        <v>17</v>
      </c>
      <c r="C125" s="2" t="s">
        <v>20</v>
      </c>
      <c r="D125" s="2" t="s">
        <v>21</v>
      </c>
      <c r="E125" s="3">
        <v>718.04</v>
      </c>
      <c r="F125" s="3">
        <v>14</v>
      </c>
      <c r="G125" s="3">
        <v>0</v>
      </c>
      <c r="H125" s="4">
        <v>45613</v>
      </c>
      <c r="I125" s="3">
        <v>179.51</v>
      </c>
      <c r="J125">
        <f t="shared" si="0"/>
        <v>11</v>
      </c>
    </row>
    <row r="126" spans="1:10" ht="29.4" thickBot="1" x14ac:dyDescent="0.35">
      <c r="A126" s="2" t="s">
        <v>72</v>
      </c>
      <c r="B126" s="2" t="s">
        <v>17</v>
      </c>
      <c r="C126" s="2" t="s">
        <v>34</v>
      </c>
      <c r="D126" s="2" t="s">
        <v>15</v>
      </c>
      <c r="E126" s="3">
        <v>1277.8499999999999</v>
      </c>
      <c r="F126" s="3">
        <v>18</v>
      </c>
      <c r="G126" s="3">
        <v>0.2</v>
      </c>
      <c r="H126" s="4">
        <v>45613</v>
      </c>
      <c r="I126" s="3">
        <v>511.14</v>
      </c>
      <c r="J126">
        <f t="shared" si="0"/>
        <v>11</v>
      </c>
    </row>
    <row r="127" spans="1:10" ht="29.4" thickBot="1" x14ac:dyDescent="0.35">
      <c r="A127" s="2" t="s">
        <v>70</v>
      </c>
      <c r="B127" s="2" t="s">
        <v>23</v>
      </c>
      <c r="C127" s="2" t="s">
        <v>24</v>
      </c>
      <c r="D127" s="2" t="s">
        <v>21</v>
      </c>
      <c r="E127" s="3">
        <v>706.73</v>
      </c>
      <c r="F127" s="3">
        <v>1</v>
      </c>
      <c r="G127" s="3">
        <v>0.15</v>
      </c>
      <c r="H127" s="4">
        <v>45613</v>
      </c>
      <c r="I127" s="3">
        <v>150.18</v>
      </c>
      <c r="J127">
        <f t="shared" si="0"/>
        <v>11</v>
      </c>
    </row>
    <row r="128" spans="1:10" ht="29.4" thickBot="1" x14ac:dyDescent="0.35">
      <c r="A128" s="2" t="s">
        <v>65</v>
      </c>
      <c r="B128" s="2" t="s">
        <v>50</v>
      </c>
      <c r="C128" s="2" t="s">
        <v>18</v>
      </c>
      <c r="D128" s="2" t="s">
        <v>21</v>
      </c>
      <c r="E128" s="3">
        <v>1410.59</v>
      </c>
      <c r="F128" s="3">
        <v>15</v>
      </c>
      <c r="G128" s="3">
        <v>0</v>
      </c>
      <c r="H128" s="4">
        <v>45615</v>
      </c>
      <c r="I128" s="3">
        <v>352.65</v>
      </c>
      <c r="J128">
        <f t="shared" si="0"/>
        <v>11</v>
      </c>
    </row>
    <row r="129" spans="1:10" ht="29.4" thickBot="1" x14ac:dyDescent="0.35">
      <c r="A129" s="2" t="s">
        <v>32</v>
      </c>
      <c r="B129" s="2" t="s">
        <v>61</v>
      </c>
      <c r="C129" s="2" t="s">
        <v>20</v>
      </c>
      <c r="D129" s="2" t="s">
        <v>27</v>
      </c>
      <c r="E129" s="3">
        <v>1350.33</v>
      </c>
      <c r="F129" s="3">
        <v>10</v>
      </c>
      <c r="G129" s="3">
        <v>0</v>
      </c>
      <c r="H129" s="4">
        <v>45615</v>
      </c>
      <c r="I129" s="3">
        <v>472.62</v>
      </c>
      <c r="J129">
        <f t="shared" si="0"/>
        <v>11</v>
      </c>
    </row>
    <row r="130" spans="1:10" ht="29.4" thickBot="1" x14ac:dyDescent="0.35">
      <c r="A130" s="2" t="s">
        <v>41</v>
      </c>
      <c r="B130" s="2" t="s">
        <v>45</v>
      </c>
      <c r="C130" s="2" t="s">
        <v>18</v>
      </c>
      <c r="D130" s="2" t="s">
        <v>21</v>
      </c>
      <c r="E130" s="3">
        <v>919.18</v>
      </c>
      <c r="F130" s="3">
        <v>4</v>
      </c>
      <c r="G130" s="3">
        <v>0.15</v>
      </c>
      <c r="H130" s="4">
        <v>45615</v>
      </c>
      <c r="I130" s="3">
        <v>195.33</v>
      </c>
      <c r="J130">
        <f t="shared" si="0"/>
        <v>11</v>
      </c>
    </row>
    <row r="131" spans="1:10" ht="29.4" thickBot="1" x14ac:dyDescent="0.35">
      <c r="A131" s="2" t="s">
        <v>74</v>
      </c>
      <c r="B131" s="2" t="s">
        <v>23</v>
      </c>
      <c r="C131" s="2" t="s">
        <v>11</v>
      </c>
      <c r="D131" s="2" t="s">
        <v>21</v>
      </c>
      <c r="E131" s="3">
        <v>258.51</v>
      </c>
      <c r="F131" s="3">
        <v>19</v>
      </c>
      <c r="G131" s="3">
        <v>0</v>
      </c>
      <c r="H131" s="4">
        <v>45616</v>
      </c>
      <c r="I131" s="3">
        <v>64.63</v>
      </c>
      <c r="J131">
        <f t="shared" ref="J131:J194" si="1">MONTH(H131)</f>
        <v>11</v>
      </c>
    </row>
    <row r="132" spans="1:10" ht="15" thickBot="1" x14ac:dyDescent="0.35">
      <c r="A132" s="2" t="s">
        <v>63</v>
      </c>
      <c r="B132" s="2" t="s">
        <v>61</v>
      </c>
      <c r="C132" s="2" t="s">
        <v>18</v>
      </c>
      <c r="D132" s="2" t="s">
        <v>12</v>
      </c>
      <c r="E132" s="3">
        <v>1213.48</v>
      </c>
      <c r="F132" s="3">
        <v>5</v>
      </c>
      <c r="G132" s="3">
        <v>0.05</v>
      </c>
      <c r="H132" s="4">
        <v>45616</v>
      </c>
      <c r="I132" s="3">
        <v>461.12</v>
      </c>
      <c r="J132">
        <f t="shared" si="1"/>
        <v>11</v>
      </c>
    </row>
    <row r="133" spans="1:10" ht="15" thickBot="1" x14ac:dyDescent="0.35">
      <c r="A133" s="2" t="s">
        <v>57</v>
      </c>
      <c r="B133" s="2" t="s">
        <v>38</v>
      </c>
      <c r="C133" s="2" t="s">
        <v>34</v>
      </c>
      <c r="D133" s="2" t="s">
        <v>12</v>
      </c>
      <c r="E133" s="3">
        <v>1150.28</v>
      </c>
      <c r="F133" s="3">
        <v>8</v>
      </c>
      <c r="G133" s="3">
        <v>0.05</v>
      </c>
      <c r="H133" s="4">
        <v>45622</v>
      </c>
      <c r="I133" s="3">
        <v>437.11</v>
      </c>
      <c r="J133">
        <f t="shared" si="1"/>
        <v>11</v>
      </c>
    </row>
    <row r="134" spans="1:10" ht="29.4" thickBot="1" x14ac:dyDescent="0.35">
      <c r="A134" s="2" t="s">
        <v>37</v>
      </c>
      <c r="B134" s="2" t="s">
        <v>71</v>
      </c>
      <c r="C134" s="2" t="s">
        <v>20</v>
      </c>
      <c r="D134" s="2" t="s">
        <v>27</v>
      </c>
      <c r="E134" s="3">
        <v>853.86</v>
      </c>
      <c r="F134" s="3">
        <v>8</v>
      </c>
      <c r="G134" s="3">
        <v>0.1</v>
      </c>
      <c r="H134" s="4">
        <v>45622</v>
      </c>
      <c r="I134" s="3">
        <v>268.97000000000003</v>
      </c>
      <c r="J134">
        <f t="shared" si="1"/>
        <v>11</v>
      </c>
    </row>
    <row r="135" spans="1:10" ht="29.4" thickBot="1" x14ac:dyDescent="0.35">
      <c r="A135" s="2" t="s">
        <v>75</v>
      </c>
      <c r="B135" s="2" t="s">
        <v>45</v>
      </c>
      <c r="C135" s="2" t="s">
        <v>20</v>
      </c>
      <c r="D135" s="2" t="s">
        <v>21</v>
      </c>
      <c r="E135" s="3">
        <v>1061.04</v>
      </c>
      <c r="F135" s="3">
        <v>1</v>
      </c>
      <c r="G135" s="3">
        <v>0</v>
      </c>
      <c r="H135" s="4">
        <v>45624</v>
      </c>
      <c r="I135" s="3">
        <v>265.26</v>
      </c>
      <c r="J135">
        <f t="shared" si="1"/>
        <v>11</v>
      </c>
    </row>
    <row r="136" spans="1:10" ht="29.4" thickBot="1" x14ac:dyDescent="0.35">
      <c r="A136" s="2" t="s">
        <v>28</v>
      </c>
      <c r="B136" s="2" t="s">
        <v>43</v>
      </c>
      <c r="C136" s="2" t="s">
        <v>11</v>
      </c>
      <c r="D136" s="2" t="s">
        <v>21</v>
      </c>
      <c r="E136" s="3">
        <v>894.55</v>
      </c>
      <c r="F136" s="3">
        <v>19</v>
      </c>
      <c r="G136" s="3">
        <v>0.2</v>
      </c>
      <c r="H136" s="4">
        <v>45625</v>
      </c>
      <c r="I136" s="3">
        <v>178.91</v>
      </c>
      <c r="J136">
        <f t="shared" si="1"/>
        <v>11</v>
      </c>
    </row>
    <row r="137" spans="1:10" ht="43.8" thickBot="1" x14ac:dyDescent="0.35">
      <c r="A137" s="2" t="s">
        <v>25</v>
      </c>
      <c r="B137" s="2" t="s">
        <v>38</v>
      </c>
      <c r="C137" s="2" t="s">
        <v>24</v>
      </c>
      <c r="D137" s="2" t="s">
        <v>39</v>
      </c>
      <c r="E137" s="3">
        <v>833.91</v>
      </c>
      <c r="F137" s="3">
        <v>3</v>
      </c>
      <c r="G137" s="3">
        <v>0.05</v>
      </c>
      <c r="H137" s="4">
        <v>45626</v>
      </c>
      <c r="I137" s="3">
        <v>356.5</v>
      </c>
      <c r="J137">
        <f t="shared" si="1"/>
        <v>11</v>
      </c>
    </row>
    <row r="138" spans="1:10" ht="29.4" thickBot="1" x14ac:dyDescent="0.35">
      <c r="A138" s="2" t="s">
        <v>58</v>
      </c>
      <c r="B138" s="2" t="s">
        <v>71</v>
      </c>
      <c r="C138" s="2" t="s">
        <v>11</v>
      </c>
      <c r="D138" s="2" t="s">
        <v>27</v>
      </c>
      <c r="E138" s="3">
        <v>820.19</v>
      </c>
      <c r="F138" s="3">
        <v>4</v>
      </c>
      <c r="G138" s="3">
        <v>0.2</v>
      </c>
      <c r="H138" s="4">
        <v>45630</v>
      </c>
      <c r="I138" s="3">
        <v>229.65</v>
      </c>
      <c r="J138">
        <f t="shared" si="1"/>
        <v>12</v>
      </c>
    </row>
    <row r="139" spans="1:10" ht="29.4" thickBot="1" x14ac:dyDescent="0.35">
      <c r="A139" s="2" t="s">
        <v>58</v>
      </c>
      <c r="B139" s="2" t="s">
        <v>38</v>
      </c>
      <c r="C139" s="2" t="s">
        <v>34</v>
      </c>
      <c r="D139" s="2" t="s">
        <v>21</v>
      </c>
      <c r="E139" s="3">
        <v>511.74</v>
      </c>
      <c r="F139" s="3">
        <v>8</v>
      </c>
      <c r="G139" s="3">
        <v>0.05</v>
      </c>
      <c r="H139" s="4">
        <v>45631</v>
      </c>
      <c r="I139" s="3">
        <v>121.54</v>
      </c>
      <c r="J139">
        <f t="shared" si="1"/>
        <v>12</v>
      </c>
    </row>
    <row r="140" spans="1:10" ht="29.4" thickBot="1" x14ac:dyDescent="0.35">
      <c r="A140" s="2" t="s">
        <v>65</v>
      </c>
      <c r="B140" s="2" t="s">
        <v>61</v>
      </c>
      <c r="C140" s="2" t="s">
        <v>20</v>
      </c>
      <c r="D140" s="2" t="s">
        <v>27</v>
      </c>
      <c r="E140" s="3">
        <v>806.03</v>
      </c>
      <c r="F140" s="3">
        <v>19</v>
      </c>
      <c r="G140" s="3">
        <v>0.05</v>
      </c>
      <c r="H140" s="4">
        <v>45638</v>
      </c>
      <c r="I140" s="3">
        <v>268</v>
      </c>
      <c r="J140">
        <f t="shared" si="1"/>
        <v>12</v>
      </c>
    </row>
    <row r="141" spans="1:10" ht="29.4" thickBot="1" x14ac:dyDescent="0.35">
      <c r="A141" s="2" t="s">
        <v>28</v>
      </c>
      <c r="B141" s="2" t="s">
        <v>26</v>
      </c>
      <c r="C141" s="2" t="s">
        <v>34</v>
      </c>
      <c r="D141" s="2" t="s">
        <v>27</v>
      </c>
      <c r="E141" s="3">
        <v>1432.47</v>
      </c>
      <c r="F141" s="3">
        <v>16</v>
      </c>
      <c r="G141" s="3">
        <v>0.15</v>
      </c>
      <c r="H141" s="4">
        <v>45640</v>
      </c>
      <c r="I141" s="3">
        <v>426.16</v>
      </c>
      <c r="J141">
        <f t="shared" si="1"/>
        <v>12</v>
      </c>
    </row>
    <row r="142" spans="1:10" ht="29.4" thickBot="1" x14ac:dyDescent="0.35">
      <c r="A142" s="2" t="s">
        <v>74</v>
      </c>
      <c r="B142" s="2" t="s">
        <v>29</v>
      </c>
      <c r="C142" s="2" t="s">
        <v>34</v>
      </c>
      <c r="D142" s="2" t="s">
        <v>21</v>
      </c>
      <c r="E142" s="3">
        <v>1488.58</v>
      </c>
      <c r="F142" s="3">
        <v>10</v>
      </c>
      <c r="G142" s="3">
        <v>0.15</v>
      </c>
      <c r="H142" s="4">
        <v>45640</v>
      </c>
      <c r="I142" s="3">
        <v>316.32</v>
      </c>
      <c r="J142">
        <f t="shared" si="1"/>
        <v>12</v>
      </c>
    </row>
    <row r="143" spans="1:10" ht="15" thickBot="1" x14ac:dyDescent="0.35">
      <c r="A143" s="2" t="s">
        <v>30</v>
      </c>
      <c r="B143" s="2" t="s">
        <v>66</v>
      </c>
      <c r="C143" s="2" t="s">
        <v>18</v>
      </c>
      <c r="D143" s="2" t="s">
        <v>12</v>
      </c>
      <c r="E143" s="3">
        <v>1231.26</v>
      </c>
      <c r="F143" s="3">
        <v>9</v>
      </c>
      <c r="G143" s="3">
        <v>0</v>
      </c>
      <c r="H143" s="4">
        <v>45646</v>
      </c>
      <c r="I143" s="3">
        <v>492.5</v>
      </c>
      <c r="J143">
        <f t="shared" si="1"/>
        <v>12</v>
      </c>
    </row>
    <row r="144" spans="1:10" ht="29.4" thickBot="1" x14ac:dyDescent="0.35">
      <c r="A144" s="2" t="s">
        <v>30</v>
      </c>
      <c r="B144" s="2" t="s">
        <v>43</v>
      </c>
      <c r="C144" s="2" t="s">
        <v>11</v>
      </c>
      <c r="D144" s="2" t="s">
        <v>21</v>
      </c>
      <c r="E144" s="3">
        <v>1161.67</v>
      </c>
      <c r="F144" s="3">
        <v>19</v>
      </c>
      <c r="G144" s="3">
        <v>0.2</v>
      </c>
      <c r="H144" s="4">
        <v>45647</v>
      </c>
      <c r="I144" s="3">
        <v>232.33</v>
      </c>
      <c r="J144">
        <f t="shared" si="1"/>
        <v>12</v>
      </c>
    </row>
    <row r="145" spans="1:10" ht="43.8" thickBot="1" x14ac:dyDescent="0.35">
      <c r="A145" s="2" t="s">
        <v>49</v>
      </c>
      <c r="B145" s="2" t="s">
        <v>45</v>
      </c>
      <c r="C145" s="2" t="s">
        <v>34</v>
      </c>
      <c r="D145" s="2" t="s">
        <v>39</v>
      </c>
      <c r="E145" s="3">
        <v>388.23</v>
      </c>
      <c r="F145" s="3">
        <v>16</v>
      </c>
      <c r="G145" s="3">
        <v>0.05</v>
      </c>
      <c r="H145" s="4">
        <v>45650</v>
      </c>
      <c r="I145" s="3">
        <v>165.97</v>
      </c>
      <c r="J145">
        <f t="shared" si="1"/>
        <v>12</v>
      </c>
    </row>
    <row r="146" spans="1:10" ht="29.4" thickBot="1" x14ac:dyDescent="0.35">
      <c r="A146" s="2" t="s">
        <v>72</v>
      </c>
      <c r="B146" s="2" t="s">
        <v>31</v>
      </c>
      <c r="C146" s="2" t="s">
        <v>24</v>
      </c>
      <c r="D146" s="2" t="s">
        <v>15</v>
      </c>
      <c r="E146" s="3">
        <v>1589.42</v>
      </c>
      <c r="F146" s="3">
        <v>6</v>
      </c>
      <c r="G146" s="3">
        <v>0.15</v>
      </c>
      <c r="H146" s="4">
        <v>45651</v>
      </c>
      <c r="I146" s="3">
        <v>675.5</v>
      </c>
      <c r="J146">
        <f t="shared" si="1"/>
        <v>12</v>
      </c>
    </row>
    <row r="147" spans="1:10" ht="29.4" thickBot="1" x14ac:dyDescent="0.35">
      <c r="A147" s="2" t="s">
        <v>28</v>
      </c>
      <c r="B147" s="2" t="s">
        <v>71</v>
      </c>
      <c r="C147" s="2" t="s">
        <v>24</v>
      </c>
      <c r="D147" s="2" t="s">
        <v>15</v>
      </c>
      <c r="E147" s="3">
        <v>336.66</v>
      </c>
      <c r="F147" s="3">
        <v>13</v>
      </c>
      <c r="G147" s="3">
        <v>0.2</v>
      </c>
      <c r="H147" s="4">
        <v>45651</v>
      </c>
      <c r="I147" s="3">
        <v>134.66</v>
      </c>
      <c r="J147">
        <f t="shared" si="1"/>
        <v>12</v>
      </c>
    </row>
    <row r="148" spans="1:10" ht="15" thickBot="1" x14ac:dyDescent="0.35">
      <c r="A148" s="2" t="s">
        <v>49</v>
      </c>
      <c r="B148" s="2" t="s">
        <v>23</v>
      </c>
      <c r="C148" s="2" t="s">
        <v>11</v>
      </c>
      <c r="D148" s="2" t="s">
        <v>12</v>
      </c>
      <c r="E148" s="3">
        <v>1353.79</v>
      </c>
      <c r="F148" s="3">
        <v>14</v>
      </c>
      <c r="G148" s="3">
        <v>0.1</v>
      </c>
      <c r="H148" s="4">
        <v>45656</v>
      </c>
      <c r="I148" s="3">
        <v>487.36</v>
      </c>
      <c r="J148">
        <f t="shared" si="1"/>
        <v>12</v>
      </c>
    </row>
    <row r="149" spans="1:10" ht="29.4" thickBot="1" x14ac:dyDescent="0.35">
      <c r="A149" s="2" t="s">
        <v>63</v>
      </c>
      <c r="B149" s="2" t="s">
        <v>69</v>
      </c>
      <c r="C149" s="2" t="s">
        <v>34</v>
      </c>
      <c r="D149" s="2" t="s">
        <v>15</v>
      </c>
      <c r="E149" s="3">
        <v>662.61</v>
      </c>
      <c r="F149" s="3">
        <v>11</v>
      </c>
      <c r="G149" s="3">
        <v>0.05</v>
      </c>
      <c r="H149" s="4">
        <v>45658</v>
      </c>
      <c r="I149" s="3">
        <v>314.74</v>
      </c>
      <c r="J149">
        <f t="shared" si="1"/>
        <v>1</v>
      </c>
    </row>
    <row r="150" spans="1:10" ht="43.8" thickBot="1" x14ac:dyDescent="0.35">
      <c r="A150" s="2" t="s">
        <v>52</v>
      </c>
      <c r="B150" s="2" t="s">
        <v>48</v>
      </c>
      <c r="C150" s="2" t="s">
        <v>24</v>
      </c>
      <c r="D150" s="2" t="s">
        <v>39</v>
      </c>
      <c r="E150" s="3">
        <v>309.42</v>
      </c>
      <c r="F150" s="3">
        <v>1</v>
      </c>
      <c r="G150" s="3">
        <v>0.2</v>
      </c>
      <c r="H150" s="4">
        <v>45658</v>
      </c>
      <c r="I150" s="3">
        <v>111.39</v>
      </c>
      <c r="J150">
        <f t="shared" si="1"/>
        <v>1</v>
      </c>
    </row>
    <row r="151" spans="1:10" ht="15" thickBot="1" x14ac:dyDescent="0.35">
      <c r="A151" s="2" t="s">
        <v>63</v>
      </c>
      <c r="B151" s="2" t="s">
        <v>29</v>
      </c>
      <c r="C151" s="2" t="s">
        <v>24</v>
      </c>
      <c r="D151" s="2" t="s">
        <v>12</v>
      </c>
      <c r="E151" s="3">
        <v>884.63</v>
      </c>
      <c r="F151" s="3">
        <v>18</v>
      </c>
      <c r="G151" s="3">
        <v>0.1</v>
      </c>
      <c r="H151" s="4">
        <v>45659</v>
      </c>
      <c r="I151" s="3">
        <v>318.47000000000003</v>
      </c>
      <c r="J151">
        <f t="shared" si="1"/>
        <v>1</v>
      </c>
    </row>
    <row r="152" spans="1:10" ht="43.8" thickBot="1" x14ac:dyDescent="0.35">
      <c r="A152" s="2" t="s">
        <v>52</v>
      </c>
      <c r="B152" s="2" t="s">
        <v>23</v>
      </c>
      <c r="C152" s="2" t="s">
        <v>34</v>
      </c>
      <c r="D152" s="2" t="s">
        <v>39</v>
      </c>
      <c r="E152" s="3">
        <v>745.05</v>
      </c>
      <c r="F152" s="3">
        <v>10</v>
      </c>
      <c r="G152" s="3">
        <v>0.1</v>
      </c>
      <c r="H152" s="4">
        <v>45660</v>
      </c>
      <c r="I152" s="3">
        <v>301.75</v>
      </c>
      <c r="J152">
        <f t="shared" si="1"/>
        <v>1</v>
      </c>
    </row>
    <row r="153" spans="1:10" ht="29.4" thickBot="1" x14ac:dyDescent="0.35">
      <c r="A153" s="2" t="s">
        <v>60</v>
      </c>
      <c r="B153" s="2" t="s">
        <v>17</v>
      </c>
      <c r="C153" s="2" t="s">
        <v>20</v>
      </c>
      <c r="D153" s="2" t="s">
        <v>15</v>
      </c>
      <c r="E153" s="3">
        <v>870.23</v>
      </c>
      <c r="F153" s="3">
        <v>5</v>
      </c>
      <c r="G153" s="3">
        <v>0.05</v>
      </c>
      <c r="H153" s="4">
        <v>45660</v>
      </c>
      <c r="I153" s="3">
        <v>413.36</v>
      </c>
      <c r="J153">
        <f t="shared" si="1"/>
        <v>1</v>
      </c>
    </row>
    <row r="154" spans="1:10" ht="29.4" thickBot="1" x14ac:dyDescent="0.35">
      <c r="A154" s="2" t="s">
        <v>35</v>
      </c>
      <c r="B154" s="2" t="s">
        <v>29</v>
      </c>
      <c r="C154" s="2" t="s">
        <v>11</v>
      </c>
      <c r="D154" s="2" t="s">
        <v>27</v>
      </c>
      <c r="E154" s="3">
        <v>862.19</v>
      </c>
      <c r="F154" s="3">
        <v>18</v>
      </c>
      <c r="G154" s="3">
        <v>0.05</v>
      </c>
      <c r="H154" s="4">
        <v>45663</v>
      </c>
      <c r="I154" s="3">
        <v>286.68</v>
      </c>
      <c r="J154">
        <f t="shared" si="1"/>
        <v>1</v>
      </c>
    </row>
    <row r="155" spans="1:10" ht="29.4" thickBot="1" x14ac:dyDescent="0.35">
      <c r="A155" s="2" t="s">
        <v>73</v>
      </c>
      <c r="B155" s="2" t="s">
        <v>59</v>
      </c>
      <c r="C155" s="2" t="s">
        <v>24</v>
      </c>
      <c r="D155" s="2" t="s">
        <v>15</v>
      </c>
      <c r="E155" s="3">
        <v>1171.18</v>
      </c>
      <c r="F155" s="3">
        <v>19</v>
      </c>
      <c r="G155" s="3">
        <v>0.05</v>
      </c>
      <c r="H155" s="4">
        <v>45667</v>
      </c>
      <c r="I155" s="3">
        <v>556.30999999999995</v>
      </c>
      <c r="J155">
        <f t="shared" si="1"/>
        <v>1</v>
      </c>
    </row>
    <row r="156" spans="1:10" ht="29.4" thickBot="1" x14ac:dyDescent="0.35">
      <c r="A156" s="2" t="s">
        <v>58</v>
      </c>
      <c r="B156" s="2" t="s">
        <v>14</v>
      </c>
      <c r="C156" s="2" t="s">
        <v>20</v>
      </c>
      <c r="D156" s="2" t="s">
        <v>27</v>
      </c>
      <c r="E156" s="3">
        <v>1054.56</v>
      </c>
      <c r="F156" s="3">
        <v>11</v>
      </c>
      <c r="G156" s="3">
        <v>0.1</v>
      </c>
      <c r="H156" s="4">
        <v>45669</v>
      </c>
      <c r="I156" s="3">
        <v>332.19</v>
      </c>
      <c r="J156">
        <f t="shared" si="1"/>
        <v>1</v>
      </c>
    </row>
    <row r="157" spans="1:10" ht="29.4" thickBot="1" x14ac:dyDescent="0.35">
      <c r="A157" s="2" t="s">
        <v>58</v>
      </c>
      <c r="B157" s="2" t="s">
        <v>23</v>
      </c>
      <c r="C157" s="2" t="s">
        <v>24</v>
      </c>
      <c r="D157" s="2" t="s">
        <v>21</v>
      </c>
      <c r="E157" s="3">
        <v>1681.21</v>
      </c>
      <c r="F157" s="3">
        <v>5</v>
      </c>
      <c r="G157" s="3">
        <v>0.2</v>
      </c>
      <c r="H157" s="4">
        <v>45670</v>
      </c>
      <c r="I157" s="3">
        <v>336.24</v>
      </c>
      <c r="J157">
        <f t="shared" si="1"/>
        <v>1</v>
      </c>
    </row>
    <row r="158" spans="1:10" ht="29.4" thickBot="1" x14ac:dyDescent="0.35">
      <c r="A158" s="2" t="s">
        <v>58</v>
      </c>
      <c r="B158" s="2" t="s">
        <v>36</v>
      </c>
      <c r="C158" s="2" t="s">
        <v>11</v>
      </c>
      <c r="D158" s="2" t="s">
        <v>15</v>
      </c>
      <c r="E158" s="3">
        <v>379.77</v>
      </c>
      <c r="F158" s="3">
        <v>9</v>
      </c>
      <c r="G158" s="3">
        <v>0.05</v>
      </c>
      <c r="H158" s="4">
        <v>45673</v>
      </c>
      <c r="I158" s="3">
        <v>180.39</v>
      </c>
      <c r="J158">
        <f t="shared" si="1"/>
        <v>1</v>
      </c>
    </row>
    <row r="159" spans="1:10" ht="29.4" thickBot="1" x14ac:dyDescent="0.35">
      <c r="A159" s="2" t="s">
        <v>44</v>
      </c>
      <c r="B159" s="2" t="s">
        <v>45</v>
      </c>
      <c r="C159" s="2" t="s">
        <v>34</v>
      </c>
      <c r="D159" s="2" t="s">
        <v>15</v>
      </c>
      <c r="E159" s="3">
        <v>1076.33</v>
      </c>
      <c r="F159" s="3">
        <v>2</v>
      </c>
      <c r="G159" s="3">
        <v>0.1</v>
      </c>
      <c r="H159" s="4">
        <v>45674</v>
      </c>
      <c r="I159" s="3">
        <v>484.35</v>
      </c>
      <c r="J159">
        <f t="shared" si="1"/>
        <v>1</v>
      </c>
    </row>
    <row r="160" spans="1:10" ht="43.8" thickBot="1" x14ac:dyDescent="0.35">
      <c r="A160" s="2" t="s">
        <v>44</v>
      </c>
      <c r="B160" s="2" t="s">
        <v>31</v>
      </c>
      <c r="C160" s="2" t="s">
        <v>34</v>
      </c>
      <c r="D160" s="2" t="s">
        <v>39</v>
      </c>
      <c r="E160" s="3">
        <v>1250.71</v>
      </c>
      <c r="F160" s="3">
        <v>7</v>
      </c>
      <c r="G160" s="3">
        <v>0</v>
      </c>
      <c r="H160" s="4">
        <v>45674</v>
      </c>
      <c r="I160" s="3">
        <v>562.82000000000005</v>
      </c>
      <c r="J160">
        <f t="shared" si="1"/>
        <v>1</v>
      </c>
    </row>
    <row r="161" spans="1:10" ht="29.4" thickBot="1" x14ac:dyDescent="0.35">
      <c r="A161" s="2" t="s">
        <v>40</v>
      </c>
      <c r="B161" s="2" t="s">
        <v>17</v>
      </c>
      <c r="C161" s="2" t="s">
        <v>20</v>
      </c>
      <c r="D161" s="2" t="s">
        <v>15</v>
      </c>
      <c r="E161" s="3">
        <v>1118.3399999999999</v>
      </c>
      <c r="F161" s="3">
        <v>6</v>
      </c>
      <c r="G161" s="3">
        <v>0.2</v>
      </c>
      <c r="H161" s="4">
        <v>45674</v>
      </c>
      <c r="I161" s="3">
        <v>447.34</v>
      </c>
      <c r="J161">
        <f t="shared" si="1"/>
        <v>1</v>
      </c>
    </row>
    <row r="162" spans="1:10" ht="29.4" thickBot="1" x14ac:dyDescent="0.35">
      <c r="A162" s="2" t="s">
        <v>70</v>
      </c>
      <c r="B162" s="2" t="s">
        <v>53</v>
      </c>
      <c r="C162" s="2" t="s">
        <v>24</v>
      </c>
      <c r="D162" s="2" t="s">
        <v>15</v>
      </c>
      <c r="E162" s="3">
        <v>1622.62</v>
      </c>
      <c r="F162" s="3">
        <v>12</v>
      </c>
      <c r="G162" s="3">
        <v>0.2</v>
      </c>
      <c r="H162" s="4">
        <v>45677</v>
      </c>
      <c r="I162" s="3">
        <v>649.04999999999995</v>
      </c>
      <c r="J162">
        <f t="shared" si="1"/>
        <v>1</v>
      </c>
    </row>
    <row r="163" spans="1:10" ht="15" thickBot="1" x14ac:dyDescent="0.35">
      <c r="A163" s="2" t="s">
        <v>75</v>
      </c>
      <c r="B163" s="2" t="s">
        <v>48</v>
      </c>
      <c r="C163" s="2" t="s">
        <v>24</v>
      </c>
      <c r="D163" s="2" t="s">
        <v>12</v>
      </c>
      <c r="E163" s="3">
        <v>640.64</v>
      </c>
      <c r="F163" s="3">
        <v>11</v>
      </c>
      <c r="G163" s="3">
        <v>0.2</v>
      </c>
      <c r="H163" s="4">
        <v>45678</v>
      </c>
      <c r="I163" s="3">
        <v>205</v>
      </c>
      <c r="J163">
        <f t="shared" si="1"/>
        <v>1</v>
      </c>
    </row>
    <row r="164" spans="1:10" ht="29.4" thickBot="1" x14ac:dyDescent="0.35">
      <c r="A164" s="2" t="s">
        <v>22</v>
      </c>
      <c r="B164" s="2" t="s">
        <v>43</v>
      </c>
      <c r="C164" s="2" t="s">
        <v>11</v>
      </c>
      <c r="D164" s="2" t="s">
        <v>15</v>
      </c>
      <c r="E164" s="3">
        <v>585.16</v>
      </c>
      <c r="F164" s="3">
        <v>17</v>
      </c>
      <c r="G164" s="3">
        <v>0.1</v>
      </c>
      <c r="H164" s="4">
        <v>45684</v>
      </c>
      <c r="I164" s="3">
        <v>263.32</v>
      </c>
      <c r="J164">
        <f t="shared" si="1"/>
        <v>1</v>
      </c>
    </row>
    <row r="165" spans="1:10" ht="29.4" thickBot="1" x14ac:dyDescent="0.35">
      <c r="A165" s="2" t="s">
        <v>22</v>
      </c>
      <c r="B165" s="2" t="s">
        <v>31</v>
      </c>
      <c r="C165" s="2" t="s">
        <v>18</v>
      </c>
      <c r="D165" s="2" t="s">
        <v>15</v>
      </c>
      <c r="E165" s="3">
        <v>1109.98</v>
      </c>
      <c r="F165" s="3">
        <v>5</v>
      </c>
      <c r="G165" s="3">
        <v>0.2</v>
      </c>
      <c r="H165" s="4">
        <v>45690</v>
      </c>
      <c r="I165" s="3">
        <v>443.99</v>
      </c>
      <c r="J165">
        <f t="shared" si="1"/>
        <v>2</v>
      </c>
    </row>
    <row r="166" spans="1:10" ht="15" thickBot="1" x14ac:dyDescent="0.35">
      <c r="A166" s="2" t="s">
        <v>58</v>
      </c>
      <c r="B166" s="2" t="s">
        <v>45</v>
      </c>
      <c r="C166" s="2" t="s">
        <v>18</v>
      </c>
      <c r="D166" s="2" t="s">
        <v>12</v>
      </c>
      <c r="E166" s="3">
        <v>1098.08</v>
      </c>
      <c r="F166" s="3">
        <v>9</v>
      </c>
      <c r="G166" s="3">
        <v>0.1</v>
      </c>
      <c r="H166" s="4">
        <v>45692</v>
      </c>
      <c r="I166" s="3">
        <v>395.31</v>
      </c>
      <c r="J166">
        <f t="shared" si="1"/>
        <v>2</v>
      </c>
    </row>
    <row r="167" spans="1:10" ht="43.8" thickBot="1" x14ac:dyDescent="0.35">
      <c r="A167" s="2" t="s">
        <v>65</v>
      </c>
      <c r="B167" s="2" t="s">
        <v>48</v>
      </c>
      <c r="C167" s="2" t="s">
        <v>11</v>
      </c>
      <c r="D167" s="2" t="s">
        <v>39</v>
      </c>
      <c r="E167" s="3">
        <v>827.25</v>
      </c>
      <c r="F167" s="3">
        <v>7</v>
      </c>
      <c r="G167" s="3">
        <v>0.1</v>
      </c>
      <c r="H167" s="4">
        <v>45693</v>
      </c>
      <c r="I167" s="3">
        <v>335.04</v>
      </c>
      <c r="J167">
        <f t="shared" si="1"/>
        <v>2</v>
      </c>
    </row>
    <row r="168" spans="1:10" ht="29.4" thickBot="1" x14ac:dyDescent="0.35">
      <c r="A168" s="2" t="s">
        <v>70</v>
      </c>
      <c r="B168" s="2" t="s">
        <v>29</v>
      </c>
      <c r="C168" s="2" t="s">
        <v>34</v>
      </c>
      <c r="D168" s="2" t="s">
        <v>15</v>
      </c>
      <c r="E168" s="3">
        <v>741.88</v>
      </c>
      <c r="F168" s="3">
        <v>16</v>
      </c>
      <c r="G168" s="3">
        <v>0.1</v>
      </c>
      <c r="H168" s="4">
        <v>45695</v>
      </c>
      <c r="I168" s="3">
        <v>333.85</v>
      </c>
      <c r="J168">
        <f t="shared" si="1"/>
        <v>2</v>
      </c>
    </row>
    <row r="169" spans="1:10" ht="43.8" thickBot="1" x14ac:dyDescent="0.35">
      <c r="A169" s="2" t="s">
        <v>72</v>
      </c>
      <c r="B169" s="2" t="s">
        <v>10</v>
      </c>
      <c r="C169" s="2" t="s">
        <v>18</v>
      </c>
      <c r="D169" s="2" t="s">
        <v>39</v>
      </c>
      <c r="E169" s="3">
        <v>1311.26</v>
      </c>
      <c r="F169" s="3">
        <v>6</v>
      </c>
      <c r="G169" s="3">
        <v>0.1</v>
      </c>
      <c r="H169" s="4">
        <v>45698</v>
      </c>
      <c r="I169" s="3">
        <v>531.05999999999995</v>
      </c>
      <c r="J169">
        <f t="shared" si="1"/>
        <v>2</v>
      </c>
    </row>
    <row r="170" spans="1:10" ht="43.8" thickBot="1" x14ac:dyDescent="0.35">
      <c r="A170" s="2" t="s">
        <v>72</v>
      </c>
      <c r="B170" s="2" t="s">
        <v>31</v>
      </c>
      <c r="C170" s="2" t="s">
        <v>20</v>
      </c>
      <c r="D170" s="2" t="s">
        <v>39</v>
      </c>
      <c r="E170" s="3">
        <v>573.32000000000005</v>
      </c>
      <c r="F170" s="3">
        <v>19</v>
      </c>
      <c r="G170" s="3">
        <v>0.1</v>
      </c>
      <c r="H170" s="4">
        <v>45703</v>
      </c>
      <c r="I170" s="3">
        <v>232.19</v>
      </c>
      <c r="J170">
        <f t="shared" si="1"/>
        <v>2</v>
      </c>
    </row>
    <row r="171" spans="1:10" ht="29.4" thickBot="1" x14ac:dyDescent="0.35">
      <c r="A171" s="2" t="s">
        <v>52</v>
      </c>
      <c r="B171" s="2" t="s">
        <v>23</v>
      </c>
      <c r="C171" s="2" t="s">
        <v>11</v>
      </c>
      <c r="D171" s="2" t="s">
        <v>21</v>
      </c>
      <c r="E171" s="3">
        <v>1115.22</v>
      </c>
      <c r="F171" s="3">
        <v>14</v>
      </c>
      <c r="G171" s="3">
        <v>0.2</v>
      </c>
      <c r="H171" s="4">
        <v>45705</v>
      </c>
      <c r="I171" s="3">
        <v>223.04</v>
      </c>
      <c r="J171">
        <f t="shared" si="1"/>
        <v>2</v>
      </c>
    </row>
    <row r="172" spans="1:10" ht="29.4" thickBot="1" x14ac:dyDescent="0.35">
      <c r="A172" s="2" t="s">
        <v>13</v>
      </c>
      <c r="B172" s="2" t="s">
        <v>45</v>
      </c>
      <c r="C172" s="2" t="s">
        <v>24</v>
      </c>
      <c r="D172" s="2" t="s">
        <v>15</v>
      </c>
      <c r="E172" s="3">
        <v>845.84</v>
      </c>
      <c r="F172" s="3">
        <v>4</v>
      </c>
      <c r="G172" s="3">
        <v>0</v>
      </c>
      <c r="H172" s="4">
        <v>45707</v>
      </c>
      <c r="I172" s="3">
        <v>422.92</v>
      </c>
      <c r="J172">
        <f t="shared" si="1"/>
        <v>2</v>
      </c>
    </row>
    <row r="173" spans="1:10" ht="29.4" thickBot="1" x14ac:dyDescent="0.35">
      <c r="A173" s="2" t="s">
        <v>30</v>
      </c>
      <c r="B173" s="2" t="s">
        <v>55</v>
      </c>
      <c r="C173" s="2" t="s">
        <v>11</v>
      </c>
      <c r="D173" s="2" t="s">
        <v>21</v>
      </c>
      <c r="E173" s="3">
        <v>1029.8</v>
      </c>
      <c r="F173" s="3">
        <v>3</v>
      </c>
      <c r="G173" s="3">
        <v>0</v>
      </c>
      <c r="H173" s="4">
        <v>45708</v>
      </c>
      <c r="I173" s="3">
        <v>257.45</v>
      </c>
      <c r="J173">
        <f t="shared" si="1"/>
        <v>2</v>
      </c>
    </row>
    <row r="174" spans="1:10" ht="15" thickBot="1" x14ac:dyDescent="0.35">
      <c r="A174" s="2" t="s">
        <v>32</v>
      </c>
      <c r="B174" s="2" t="s">
        <v>31</v>
      </c>
      <c r="C174" s="2" t="s">
        <v>24</v>
      </c>
      <c r="D174" s="2" t="s">
        <v>12</v>
      </c>
      <c r="E174" s="3">
        <v>1189.83</v>
      </c>
      <c r="F174" s="3">
        <v>2</v>
      </c>
      <c r="G174" s="3">
        <v>0.2</v>
      </c>
      <c r="H174" s="4">
        <v>45709</v>
      </c>
      <c r="I174" s="3">
        <v>380.75</v>
      </c>
      <c r="J174">
        <f t="shared" si="1"/>
        <v>2</v>
      </c>
    </row>
    <row r="175" spans="1:10" ht="15" thickBot="1" x14ac:dyDescent="0.35">
      <c r="A175" s="2" t="s">
        <v>67</v>
      </c>
      <c r="B175" s="2" t="s">
        <v>43</v>
      </c>
      <c r="C175" s="2" t="s">
        <v>20</v>
      </c>
      <c r="D175" s="2" t="s">
        <v>12</v>
      </c>
      <c r="E175" s="3">
        <v>704.28</v>
      </c>
      <c r="F175" s="3">
        <v>15</v>
      </c>
      <c r="G175" s="3">
        <v>0.2</v>
      </c>
      <c r="H175" s="4">
        <v>45712</v>
      </c>
      <c r="I175" s="3">
        <v>225.37</v>
      </c>
      <c r="J175">
        <f t="shared" si="1"/>
        <v>2</v>
      </c>
    </row>
    <row r="176" spans="1:10" ht="43.8" thickBot="1" x14ac:dyDescent="0.35">
      <c r="A176" s="2" t="s">
        <v>65</v>
      </c>
      <c r="B176" s="2" t="s">
        <v>47</v>
      </c>
      <c r="C176" s="2" t="s">
        <v>34</v>
      </c>
      <c r="D176" s="2" t="s">
        <v>39</v>
      </c>
      <c r="E176" s="3">
        <v>1618.22</v>
      </c>
      <c r="F176" s="3">
        <v>12</v>
      </c>
      <c r="G176" s="3">
        <v>0.2</v>
      </c>
      <c r="H176" s="4">
        <v>45712</v>
      </c>
      <c r="I176" s="3">
        <v>582.55999999999995</v>
      </c>
      <c r="J176">
        <f t="shared" si="1"/>
        <v>2</v>
      </c>
    </row>
    <row r="177" spans="1:10" ht="15" thickBot="1" x14ac:dyDescent="0.35">
      <c r="A177" s="2" t="s">
        <v>73</v>
      </c>
      <c r="B177" s="2" t="s">
        <v>53</v>
      </c>
      <c r="C177" s="2" t="s">
        <v>34</v>
      </c>
      <c r="D177" s="2" t="s">
        <v>12</v>
      </c>
      <c r="E177" s="3">
        <v>1014.43</v>
      </c>
      <c r="F177" s="3">
        <v>2</v>
      </c>
      <c r="G177" s="3">
        <v>0.15</v>
      </c>
      <c r="H177" s="4">
        <v>45713</v>
      </c>
      <c r="I177" s="3">
        <v>344.91</v>
      </c>
      <c r="J177">
        <f t="shared" si="1"/>
        <v>2</v>
      </c>
    </row>
    <row r="178" spans="1:10" ht="29.4" thickBot="1" x14ac:dyDescent="0.35">
      <c r="A178" s="2" t="s">
        <v>75</v>
      </c>
      <c r="B178" s="2" t="s">
        <v>31</v>
      </c>
      <c r="C178" s="2" t="s">
        <v>34</v>
      </c>
      <c r="D178" s="2" t="s">
        <v>15</v>
      </c>
      <c r="E178" s="3">
        <v>826.97</v>
      </c>
      <c r="F178" s="3">
        <v>18</v>
      </c>
      <c r="G178" s="3">
        <v>0.2</v>
      </c>
      <c r="H178" s="4">
        <v>45715</v>
      </c>
      <c r="I178" s="3">
        <v>330.79</v>
      </c>
      <c r="J178">
        <f t="shared" si="1"/>
        <v>2</v>
      </c>
    </row>
    <row r="179" spans="1:10" ht="29.4" thickBot="1" x14ac:dyDescent="0.35">
      <c r="A179" s="2" t="s">
        <v>16</v>
      </c>
      <c r="B179" s="2" t="s">
        <v>31</v>
      </c>
      <c r="C179" s="2" t="s">
        <v>34</v>
      </c>
      <c r="D179" s="2" t="s">
        <v>15</v>
      </c>
      <c r="E179" s="3">
        <v>1022.23</v>
      </c>
      <c r="F179" s="3">
        <v>8</v>
      </c>
      <c r="G179" s="3">
        <v>0.1</v>
      </c>
      <c r="H179" s="4">
        <v>45717</v>
      </c>
      <c r="I179" s="3">
        <v>460</v>
      </c>
      <c r="J179">
        <f t="shared" si="1"/>
        <v>3</v>
      </c>
    </row>
    <row r="180" spans="1:10" ht="15" thickBot="1" x14ac:dyDescent="0.35">
      <c r="A180" s="2" t="s">
        <v>72</v>
      </c>
      <c r="B180" s="2" t="s">
        <v>29</v>
      </c>
      <c r="C180" s="2" t="s">
        <v>18</v>
      </c>
      <c r="D180" s="2" t="s">
        <v>12</v>
      </c>
      <c r="E180" s="3">
        <v>1099.69</v>
      </c>
      <c r="F180" s="3">
        <v>6</v>
      </c>
      <c r="G180" s="3">
        <v>0</v>
      </c>
      <c r="H180" s="4">
        <v>45718</v>
      </c>
      <c r="I180" s="3">
        <v>439.88</v>
      </c>
      <c r="J180">
        <f t="shared" si="1"/>
        <v>3</v>
      </c>
    </row>
    <row r="181" spans="1:10" ht="15" thickBot="1" x14ac:dyDescent="0.35">
      <c r="A181" s="2" t="s">
        <v>52</v>
      </c>
      <c r="B181" s="2" t="s">
        <v>64</v>
      </c>
      <c r="C181" s="2" t="s">
        <v>24</v>
      </c>
      <c r="D181" s="2" t="s">
        <v>12</v>
      </c>
      <c r="E181" s="3">
        <v>710.52</v>
      </c>
      <c r="F181" s="3">
        <v>8</v>
      </c>
      <c r="G181" s="3">
        <v>0.1</v>
      </c>
      <c r="H181" s="4">
        <v>45721</v>
      </c>
      <c r="I181" s="3">
        <v>255.79</v>
      </c>
      <c r="J181">
        <f t="shared" si="1"/>
        <v>3</v>
      </c>
    </row>
    <row r="182" spans="1:10" ht="15" thickBot="1" x14ac:dyDescent="0.35">
      <c r="A182" s="2" t="s">
        <v>52</v>
      </c>
      <c r="B182" s="2" t="s">
        <v>59</v>
      </c>
      <c r="C182" s="2" t="s">
        <v>24</v>
      </c>
      <c r="D182" s="2" t="s">
        <v>12</v>
      </c>
      <c r="E182" s="3">
        <v>499.18</v>
      </c>
      <c r="F182" s="3">
        <v>15</v>
      </c>
      <c r="G182" s="3">
        <v>0.2</v>
      </c>
      <c r="H182" s="4">
        <v>45724</v>
      </c>
      <c r="I182" s="3">
        <v>159.74</v>
      </c>
      <c r="J182">
        <f t="shared" si="1"/>
        <v>3</v>
      </c>
    </row>
    <row r="183" spans="1:10" ht="15" thickBot="1" x14ac:dyDescent="0.35">
      <c r="A183" s="2" t="s">
        <v>37</v>
      </c>
      <c r="B183" s="2" t="s">
        <v>38</v>
      </c>
      <c r="C183" s="2" t="s">
        <v>20</v>
      </c>
      <c r="D183" s="2" t="s">
        <v>12</v>
      </c>
      <c r="E183" s="3">
        <v>1064.19</v>
      </c>
      <c r="F183" s="3">
        <v>18</v>
      </c>
      <c r="G183" s="3">
        <v>0.05</v>
      </c>
      <c r="H183" s="4">
        <v>45725</v>
      </c>
      <c r="I183" s="3">
        <v>404.39</v>
      </c>
      <c r="J183">
        <f t="shared" si="1"/>
        <v>3</v>
      </c>
    </row>
    <row r="184" spans="1:10" ht="43.8" thickBot="1" x14ac:dyDescent="0.35">
      <c r="A184" s="2" t="s">
        <v>67</v>
      </c>
      <c r="B184" s="2" t="s">
        <v>38</v>
      </c>
      <c r="C184" s="2" t="s">
        <v>18</v>
      </c>
      <c r="D184" s="2" t="s">
        <v>39</v>
      </c>
      <c r="E184" s="3">
        <v>438.76</v>
      </c>
      <c r="F184" s="3">
        <v>18</v>
      </c>
      <c r="G184" s="3">
        <v>0.05</v>
      </c>
      <c r="H184" s="4">
        <v>45726</v>
      </c>
      <c r="I184" s="3">
        <v>187.57</v>
      </c>
      <c r="J184">
        <f t="shared" si="1"/>
        <v>3</v>
      </c>
    </row>
    <row r="185" spans="1:10" ht="29.4" thickBot="1" x14ac:dyDescent="0.35">
      <c r="A185" s="2" t="s">
        <v>41</v>
      </c>
      <c r="B185" s="2" t="s">
        <v>55</v>
      </c>
      <c r="C185" s="2" t="s">
        <v>11</v>
      </c>
      <c r="D185" s="2" t="s">
        <v>15</v>
      </c>
      <c r="E185" s="3">
        <v>864.98</v>
      </c>
      <c r="F185" s="3">
        <v>2</v>
      </c>
      <c r="G185" s="3">
        <v>0.05</v>
      </c>
      <c r="H185" s="4">
        <v>45727</v>
      </c>
      <c r="I185" s="3">
        <v>410.87</v>
      </c>
      <c r="J185">
        <f t="shared" si="1"/>
        <v>3</v>
      </c>
    </row>
    <row r="186" spans="1:10" ht="29.4" thickBot="1" x14ac:dyDescent="0.35">
      <c r="A186" s="2" t="s">
        <v>57</v>
      </c>
      <c r="B186" s="2" t="s">
        <v>55</v>
      </c>
      <c r="C186" s="2" t="s">
        <v>11</v>
      </c>
      <c r="D186" s="2" t="s">
        <v>27</v>
      </c>
      <c r="E186" s="3">
        <v>984.93</v>
      </c>
      <c r="F186" s="3">
        <v>14</v>
      </c>
      <c r="G186" s="3">
        <v>0.2</v>
      </c>
      <c r="H186" s="4">
        <v>45733</v>
      </c>
      <c r="I186" s="3">
        <v>275.77999999999997</v>
      </c>
      <c r="J186">
        <f t="shared" si="1"/>
        <v>3</v>
      </c>
    </row>
    <row r="187" spans="1:10" ht="29.4" thickBot="1" x14ac:dyDescent="0.35">
      <c r="A187" s="2" t="s">
        <v>25</v>
      </c>
      <c r="B187" s="2" t="s">
        <v>55</v>
      </c>
      <c r="C187" s="2" t="s">
        <v>11</v>
      </c>
      <c r="D187" s="2" t="s">
        <v>15</v>
      </c>
      <c r="E187" s="3">
        <v>1493.49</v>
      </c>
      <c r="F187" s="3">
        <v>18</v>
      </c>
      <c r="G187" s="3">
        <v>0</v>
      </c>
      <c r="H187" s="4">
        <v>45734</v>
      </c>
      <c r="I187" s="3">
        <v>746.74</v>
      </c>
      <c r="J187">
        <f t="shared" si="1"/>
        <v>3</v>
      </c>
    </row>
    <row r="188" spans="1:10" ht="29.4" thickBot="1" x14ac:dyDescent="0.35">
      <c r="A188" s="2" t="s">
        <v>32</v>
      </c>
      <c r="B188" s="2" t="s">
        <v>53</v>
      </c>
      <c r="C188" s="2" t="s">
        <v>20</v>
      </c>
      <c r="D188" s="2" t="s">
        <v>15</v>
      </c>
      <c r="E188" s="3">
        <v>689.43</v>
      </c>
      <c r="F188" s="3">
        <v>9</v>
      </c>
      <c r="G188" s="3">
        <v>0.1</v>
      </c>
      <c r="H188" s="4">
        <v>45736</v>
      </c>
      <c r="I188" s="3">
        <v>310.24</v>
      </c>
      <c r="J188">
        <f t="shared" si="1"/>
        <v>3</v>
      </c>
    </row>
    <row r="189" spans="1:10" ht="29.4" thickBot="1" x14ac:dyDescent="0.35">
      <c r="A189" s="2" t="s">
        <v>40</v>
      </c>
      <c r="B189" s="2" t="s">
        <v>59</v>
      </c>
      <c r="C189" s="2" t="s">
        <v>20</v>
      </c>
      <c r="D189" s="2" t="s">
        <v>15</v>
      </c>
      <c r="E189" s="3">
        <v>682.24</v>
      </c>
      <c r="F189" s="3">
        <v>1</v>
      </c>
      <c r="G189" s="3">
        <v>0</v>
      </c>
      <c r="H189" s="4">
        <v>45738</v>
      </c>
      <c r="I189" s="3">
        <v>341.12</v>
      </c>
      <c r="J189">
        <f t="shared" si="1"/>
        <v>3</v>
      </c>
    </row>
    <row r="190" spans="1:10" ht="29.4" thickBot="1" x14ac:dyDescent="0.35">
      <c r="A190" s="2" t="s">
        <v>41</v>
      </c>
      <c r="B190" s="2" t="s">
        <v>26</v>
      </c>
      <c r="C190" s="2" t="s">
        <v>24</v>
      </c>
      <c r="D190" s="2" t="s">
        <v>21</v>
      </c>
      <c r="E190" s="3">
        <v>458.54</v>
      </c>
      <c r="F190" s="3">
        <v>15</v>
      </c>
      <c r="G190" s="3">
        <v>0.2</v>
      </c>
      <c r="H190" s="4">
        <v>45741</v>
      </c>
      <c r="I190" s="3">
        <v>91.71</v>
      </c>
      <c r="J190">
        <f t="shared" si="1"/>
        <v>3</v>
      </c>
    </row>
    <row r="191" spans="1:10" ht="29.4" thickBot="1" x14ac:dyDescent="0.35">
      <c r="A191" s="2" t="s">
        <v>32</v>
      </c>
      <c r="B191" s="2" t="s">
        <v>26</v>
      </c>
      <c r="C191" s="2" t="s">
        <v>20</v>
      </c>
      <c r="D191" s="2" t="s">
        <v>27</v>
      </c>
      <c r="E191" s="3">
        <v>1184.25</v>
      </c>
      <c r="F191" s="3">
        <v>11</v>
      </c>
      <c r="G191" s="3">
        <v>0.2</v>
      </c>
      <c r="H191" s="4">
        <v>45742</v>
      </c>
      <c r="I191" s="3">
        <v>331.59</v>
      </c>
      <c r="J191">
        <f t="shared" si="1"/>
        <v>3</v>
      </c>
    </row>
    <row r="192" spans="1:10" ht="29.4" thickBot="1" x14ac:dyDescent="0.35">
      <c r="A192" s="2" t="s">
        <v>25</v>
      </c>
      <c r="B192" s="2" t="s">
        <v>10</v>
      </c>
      <c r="C192" s="2" t="s">
        <v>20</v>
      </c>
      <c r="D192" s="2" t="s">
        <v>15</v>
      </c>
      <c r="E192" s="3">
        <v>762.14</v>
      </c>
      <c r="F192" s="3">
        <v>9</v>
      </c>
      <c r="G192" s="3">
        <v>0</v>
      </c>
      <c r="H192" s="4">
        <v>45743</v>
      </c>
      <c r="I192" s="3">
        <v>381.07</v>
      </c>
      <c r="J192">
        <f t="shared" si="1"/>
        <v>3</v>
      </c>
    </row>
    <row r="193" spans="1:10" ht="15" thickBot="1" x14ac:dyDescent="0.35">
      <c r="A193" s="2" t="s">
        <v>22</v>
      </c>
      <c r="B193" s="2" t="s">
        <v>53</v>
      </c>
      <c r="C193" s="2" t="s">
        <v>24</v>
      </c>
      <c r="D193" s="2" t="s">
        <v>12</v>
      </c>
      <c r="E193" s="3">
        <v>750.71</v>
      </c>
      <c r="F193" s="3">
        <v>10</v>
      </c>
      <c r="G193" s="3">
        <v>0.15</v>
      </c>
      <c r="H193" s="4">
        <v>45743</v>
      </c>
      <c r="I193" s="3">
        <v>255.24</v>
      </c>
      <c r="J193">
        <f t="shared" si="1"/>
        <v>3</v>
      </c>
    </row>
    <row r="194" spans="1:10" ht="29.4" thickBot="1" x14ac:dyDescent="0.35">
      <c r="A194" s="2" t="s">
        <v>75</v>
      </c>
      <c r="B194" s="2" t="s">
        <v>71</v>
      </c>
      <c r="C194" s="2" t="s">
        <v>34</v>
      </c>
      <c r="D194" s="2" t="s">
        <v>15</v>
      </c>
      <c r="E194" s="3">
        <v>1456.94</v>
      </c>
      <c r="F194" s="3">
        <v>14</v>
      </c>
      <c r="G194" s="3">
        <v>0.05</v>
      </c>
      <c r="H194" s="4">
        <v>45745</v>
      </c>
      <c r="I194" s="3">
        <v>692.05</v>
      </c>
      <c r="J194">
        <f t="shared" si="1"/>
        <v>3</v>
      </c>
    </row>
    <row r="195" spans="1:10" ht="29.4" thickBot="1" x14ac:dyDescent="0.35">
      <c r="A195" s="2" t="s">
        <v>44</v>
      </c>
      <c r="B195" s="2" t="s">
        <v>61</v>
      </c>
      <c r="C195" s="2" t="s">
        <v>18</v>
      </c>
      <c r="D195" s="2" t="s">
        <v>27</v>
      </c>
      <c r="E195" s="3">
        <v>1093.3800000000001</v>
      </c>
      <c r="F195" s="3">
        <v>17</v>
      </c>
      <c r="G195" s="3">
        <v>0.1</v>
      </c>
      <c r="H195" s="4">
        <v>45745</v>
      </c>
      <c r="I195" s="3">
        <v>344.41</v>
      </c>
      <c r="J195">
        <f t="shared" ref="J195:J201" si="2">MONTH(H195)</f>
        <v>3</v>
      </c>
    </row>
    <row r="196" spans="1:10" ht="29.4" thickBot="1" x14ac:dyDescent="0.35">
      <c r="A196" s="2" t="s">
        <v>37</v>
      </c>
      <c r="B196" s="2" t="s">
        <v>43</v>
      </c>
      <c r="C196" s="2" t="s">
        <v>11</v>
      </c>
      <c r="D196" s="2" t="s">
        <v>15</v>
      </c>
      <c r="E196" s="3">
        <v>934.27</v>
      </c>
      <c r="F196" s="3">
        <v>8</v>
      </c>
      <c r="G196" s="3">
        <v>0.15</v>
      </c>
      <c r="H196" s="4">
        <v>45746</v>
      </c>
      <c r="I196" s="3">
        <v>397.06</v>
      </c>
      <c r="J196">
        <f t="shared" si="2"/>
        <v>3</v>
      </c>
    </row>
    <row r="197" spans="1:10" ht="29.4" thickBot="1" x14ac:dyDescent="0.35">
      <c r="A197" s="2" t="s">
        <v>70</v>
      </c>
      <c r="B197" s="2" t="s">
        <v>36</v>
      </c>
      <c r="C197" s="2" t="s">
        <v>34</v>
      </c>
      <c r="D197" s="2" t="s">
        <v>15</v>
      </c>
      <c r="E197" s="3">
        <v>1465.35</v>
      </c>
      <c r="F197" s="3">
        <v>8</v>
      </c>
      <c r="G197" s="3">
        <v>0.2</v>
      </c>
      <c r="H197" s="4">
        <v>45746</v>
      </c>
      <c r="I197" s="3">
        <v>586.14</v>
      </c>
      <c r="J197">
        <f t="shared" si="2"/>
        <v>3</v>
      </c>
    </row>
    <row r="198" spans="1:10" ht="43.8" thickBot="1" x14ac:dyDescent="0.35">
      <c r="A198" s="2" t="s">
        <v>52</v>
      </c>
      <c r="B198" s="2" t="s">
        <v>14</v>
      </c>
      <c r="C198" s="2" t="s">
        <v>20</v>
      </c>
      <c r="D198" s="2" t="s">
        <v>39</v>
      </c>
      <c r="E198" s="3">
        <v>740.8</v>
      </c>
      <c r="F198" s="3">
        <v>3</v>
      </c>
      <c r="G198" s="3">
        <v>0</v>
      </c>
      <c r="H198" s="4">
        <v>45749</v>
      </c>
      <c r="I198" s="3">
        <v>333.36</v>
      </c>
      <c r="J198">
        <f t="shared" si="2"/>
        <v>4</v>
      </c>
    </row>
    <row r="199" spans="1:10" ht="43.8" thickBot="1" x14ac:dyDescent="0.35">
      <c r="A199" s="2" t="s">
        <v>58</v>
      </c>
      <c r="B199" s="2" t="s">
        <v>43</v>
      </c>
      <c r="C199" s="2" t="s">
        <v>11</v>
      </c>
      <c r="D199" s="2" t="s">
        <v>39</v>
      </c>
      <c r="E199" s="3">
        <v>545.44000000000005</v>
      </c>
      <c r="F199" s="3">
        <v>17</v>
      </c>
      <c r="G199" s="3">
        <v>0</v>
      </c>
      <c r="H199" s="4">
        <v>45752</v>
      </c>
      <c r="I199" s="3">
        <v>245.45</v>
      </c>
      <c r="J199">
        <f t="shared" si="2"/>
        <v>4</v>
      </c>
    </row>
    <row r="200" spans="1:10" ht="15" thickBot="1" x14ac:dyDescent="0.35">
      <c r="A200" s="2" t="s">
        <v>35</v>
      </c>
      <c r="B200" s="2" t="s">
        <v>36</v>
      </c>
      <c r="C200" s="2" t="s">
        <v>18</v>
      </c>
      <c r="D200" s="2" t="s">
        <v>12</v>
      </c>
      <c r="E200" s="3">
        <v>997.61</v>
      </c>
      <c r="F200" s="3">
        <v>8</v>
      </c>
      <c r="G200" s="3">
        <v>0.05</v>
      </c>
      <c r="H200" s="4">
        <v>45752</v>
      </c>
      <c r="I200" s="3">
        <v>379.09</v>
      </c>
      <c r="J200">
        <f t="shared" si="2"/>
        <v>4</v>
      </c>
    </row>
    <row r="201" spans="1:10" ht="29.4" thickBot="1" x14ac:dyDescent="0.35">
      <c r="A201" s="2" t="s">
        <v>60</v>
      </c>
      <c r="B201" s="2" t="s">
        <v>36</v>
      </c>
      <c r="C201" s="2" t="s">
        <v>20</v>
      </c>
      <c r="D201" s="2" t="s">
        <v>15</v>
      </c>
      <c r="E201" s="3">
        <v>928.32</v>
      </c>
      <c r="F201" s="3">
        <v>2</v>
      </c>
      <c r="G201" s="3">
        <v>0.05</v>
      </c>
      <c r="H201" s="4">
        <v>45754</v>
      </c>
      <c r="I201" s="3">
        <v>440.95</v>
      </c>
      <c r="J201">
        <f t="shared" si="2"/>
        <v>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C3F7A-BA20-4EF6-87B0-E02513A2A379}">
  <dimension ref="A1:H24"/>
  <sheetViews>
    <sheetView workbookViewId="0">
      <selection activeCell="D21" sqref="D21"/>
    </sheetView>
  </sheetViews>
  <sheetFormatPr defaultRowHeight="14.4" x14ac:dyDescent="0.3"/>
  <sheetData>
    <row r="1" spans="1:8" ht="28.8" x14ac:dyDescent="0.3">
      <c r="A1" s="5" t="s">
        <v>76</v>
      </c>
      <c r="B1" s="5" t="s">
        <v>77</v>
      </c>
      <c r="C1" s="5" t="s">
        <v>78</v>
      </c>
      <c r="D1" s="5" t="s">
        <v>79</v>
      </c>
      <c r="E1" s="5" t="s">
        <v>80</v>
      </c>
      <c r="F1" s="5" t="s">
        <v>81</v>
      </c>
      <c r="G1" s="5" t="s">
        <v>82</v>
      </c>
      <c r="H1" s="5" t="s">
        <v>8</v>
      </c>
    </row>
    <row r="2" spans="1:8" x14ac:dyDescent="0.3">
      <c r="A2" s="6" t="s">
        <v>83</v>
      </c>
      <c r="B2" s="6">
        <v>120</v>
      </c>
      <c r="C2" s="6">
        <v>200</v>
      </c>
      <c r="D2" s="6">
        <v>50</v>
      </c>
      <c r="E2" s="7">
        <v>5</v>
      </c>
      <c r="F2" s="6">
        <f>(C2-C2*E2/100)*D2</f>
        <v>9500</v>
      </c>
      <c r="G2" s="6">
        <f>B2*D2</f>
        <v>6000</v>
      </c>
      <c r="H2" s="6">
        <f>F2-G2</f>
        <v>3500</v>
      </c>
    </row>
    <row r="3" spans="1:8" x14ac:dyDescent="0.3">
      <c r="A3" s="6" t="s">
        <v>84</v>
      </c>
      <c r="B3" s="6">
        <v>80</v>
      </c>
      <c r="C3" s="6">
        <v>150</v>
      </c>
      <c r="D3" s="6">
        <v>80</v>
      </c>
      <c r="E3" s="7">
        <v>10</v>
      </c>
      <c r="F3" s="6">
        <f t="shared" ref="F3:F9" si="0">(C3-C3*E3/100)*D3</f>
        <v>10800</v>
      </c>
      <c r="G3" s="6">
        <f t="shared" ref="G3:G9" si="1">B3*D3</f>
        <v>6400</v>
      </c>
      <c r="H3" s="6">
        <f t="shared" ref="H3:H9" si="2">F3-G3</f>
        <v>4400</v>
      </c>
    </row>
    <row r="4" spans="1:8" x14ac:dyDescent="0.3">
      <c r="A4" s="6" t="s">
        <v>85</v>
      </c>
      <c r="B4" s="6">
        <v>60</v>
      </c>
      <c r="C4" s="6">
        <v>120</v>
      </c>
      <c r="D4" s="6">
        <v>100</v>
      </c>
      <c r="E4" s="7">
        <v>4</v>
      </c>
      <c r="F4" s="6">
        <f t="shared" si="0"/>
        <v>11520</v>
      </c>
      <c r="G4" s="6">
        <f t="shared" si="1"/>
        <v>6000</v>
      </c>
      <c r="H4" s="6">
        <f t="shared" si="2"/>
        <v>5520</v>
      </c>
    </row>
    <row r="5" spans="1:8" x14ac:dyDescent="0.3">
      <c r="A5" s="6" t="s">
        <v>86</v>
      </c>
      <c r="B5" s="6">
        <v>200</v>
      </c>
      <c r="C5" s="6">
        <v>300</v>
      </c>
      <c r="D5" s="6">
        <v>40</v>
      </c>
      <c r="E5" s="7">
        <v>6</v>
      </c>
      <c r="F5" s="6">
        <f t="shared" si="0"/>
        <v>11280</v>
      </c>
      <c r="G5" s="6">
        <f t="shared" si="1"/>
        <v>8000</v>
      </c>
      <c r="H5" s="6">
        <f t="shared" si="2"/>
        <v>3280</v>
      </c>
    </row>
    <row r="6" spans="1:8" x14ac:dyDescent="0.3">
      <c r="A6" s="6" t="s">
        <v>87</v>
      </c>
      <c r="B6" s="6">
        <v>150</v>
      </c>
      <c r="C6" s="6">
        <v>250</v>
      </c>
      <c r="D6" s="6">
        <v>60</v>
      </c>
      <c r="E6" s="7">
        <v>8</v>
      </c>
      <c r="F6" s="6">
        <f t="shared" si="0"/>
        <v>13800</v>
      </c>
      <c r="G6" s="6">
        <f t="shared" si="1"/>
        <v>9000</v>
      </c>
      <c r="H6" s="6">
        <f t="shared" si="2"/>
        <v>4800</v>
      </c>
    </row>
    <row r="7" spans="1:8" x14ac:dyDescent="0.3">
      <c r="A7" s="6" t="s">
        <v>88</v>
      </c>
      <c r="B7" s="6">
        <v>90</v>
      </c>
      <c r="C7" s="6">
        <v>180</v>
      </c>
      <c r="D7" s="6">
        <v>70</v>
      </c>
      <c r="E7" s="7">
        <v>5</v>
      </c>
      <c r="F7" s="6">
        <f t="shared" si="0"/>
        <v>11970</v>
      </c>
      <c r="G7" s="6">
        <f t="shared" si="1"/>
        <v>6300</v>
      </c>
      <c r="H7" s="6">
        <f t="shared" si="2"/>
        <v>5670</v>
      </c>
    </row>
    <row r="8" spans="1:8" x14ac:dyDescent="0.3">
      <c r="A8" s="6" t="s">
        <v>89</v>
      </c>
      <c r="B8" s="6">
        <v>110</v>
      </c>
      <c r="C8" s="6">
        <v>210</v>
      </c>
      <c r="D8" s="6">
        <v>55</v>
      </c>
      <c r="E8" s="7">
        <v>12</v>
      </c>
      <c r="F8" s="6">
        <f t="shared" si="0"/>
        <v>10164</v>
      </c>
      <c r="G8" s="6">
        <f t="shared" si="1"/>
        <v>6050</v>
      </c>
      <c r="H8" s="6">
        <f t="shared" si="2"/>
        <v>4114</v>
      </c>
    </row>
    <row r="9" spans="1:8" x14ac:dyDescent="0.3">
      <c r="A9" s="6" t="s">
        <v>90</v>
      </c>
      <c r="B9" s="6">
        <v>75</v>
      </c>
      <c r="C9" s="6">
        <v>140</v>
      </c>
      <c r="D9" s="6">
        <v>90</v>
      </c>
      <c r="E9" s="7">
        <v>9</v>
      </c>
      <c r="F9" s="6">
        <f t="shared" si="0"/>
        <v>11466</v>
      </c>
      <c r="G9" s="6">
        <f t="shared" si="1"/>
        <v>6750</v>
      </c>
      <c r="H9" s="6">
        <f t="shared" si="2"/>
        <v>4716</v>
      </c>
    </row>
    <row r="12" spans="1:8" ht="28.8" x14ac:dyDescent="0.3">
      <c r="A12" s="5" t="s">
        <v>76</v>
      </c>
      <c r="B12" s="5" t="s">
        <v>77</v>
      </c>
      <c r="C12" s="5" t="s">
        <v>78</v>
      </c>
      <c r="D12" s="5" t="s">
        <v>79</v>
      </c>
      <c r="E12" s="5" t="s">
        <v>80</v>
      </c>
      <c r="F12" s="5" t="s">
        <v>81</v>
      </c>
      <c r="G12" s="5" t="s">
        <v>82</v>
      </c>
      <c r="H12" s="5" t="s">
        <v>8</v>
      </c>
    </row>
    <row r="13" spans="1:8" x14ac:dyDescent="0.3">
      <c r="A13" s="6" t="s">
        <v>83</v>
      </c>
      <c r="B13" s="6">
        <v>120</v>
      </c>
      <c r="C13" s="6">
        <v>200</v>
      </c>
      <c r="D13" s="6">
        <v>50</v>
      </c>
      <c r="E13" s="7">
        <v>5</v>
      </c>
      <c r="F13" s="6">
        <f>(C13-C13*E13/100)*D13</f>
        <v>9500</v>
      </c>
      <c r="G13" s="6">
        <f>B13*D13</f>
        <v>6000</v>
      </c>
      <c r="H13" s="6">
        <f>F13-G13</f>
        <v>3500</v>
      </c>
    </row>
    <row r="15" spans="1:8" ht="28.8" x14ac:dyDescent="0.3">
      <c r="A15" s="5" t="s">
        <v>79</v>
      </c>
      <c r="B15" s="5" t="s">
        <v>8</v>
      </c>
    </row>
    <row r="16" spans="1:8" x14ac:dyDescent="0.3">
      <c r="A16" s="5"/>
      <c r="B16" s="6">
        <f>H13</f>
        <v>3500</v>
      </c>
    </row>
    <row r="17" spans="1:2" x14ac:dyDescent="0.3">
      <c r="A17" s="6">
        <v>50</v>
      </c>
      <c r="B17" s="8">
        <f t="dataTable" ref="B17:B24" dt2D="0" dtr="0" r1="D13"/>
        <v>3500</v>
      </c>
    </row>
    <row r="18" spans="1:2" x14ac:dyDescent="0.3">
      <c r="A18" s="6">
        <v>80</v>
      </c>
      <c r="B18" s="8">
        <v>5600</v>
      </c>
    </row>
    <row r="19" spans="1:2" x14ac:dyDescent="0.3">
      <c r="A19" s="6">
        <v>100</v>
      </c>
      <c r="B19" s="8">
        <v>7000</v>
      </c>
    </row>
    <row r="20" spans="1:2" x14ac:dyDescent="0.3">
      <c r="A20" s="6">
        <v>40</v>
      </c>
      <c r="B20" s="8">
        <v>2800</v>
      </c>
    </row>
    <row r="21" spans="1:2" x14ac:dyDescent="0.3">
      <c r="A21" s="6">
        <v>60</v>
      </c>
      <c r="B21" s="8">
        <v>4200</v>
      </c>
    </row>
    <row r="22" spans="1:2" x14ac:dyDescent="0.3">
      <c r="A22" s="6">
        <v>70</v>
      </c>
      <c r="B22" s="8">
        <v>4900</v>
      </c>
    </row>
    <row r="23" spans="1:2" x14ac:dyDescent="0.3">
      <c r="A23" s="6">
        <v>55</v>
      </c>
      <c r="B23" s="8">
        <v>3850</v>
      </c>
    </row>
    <row r="24" spans="1:2" x14ac:dyDescent="0.3">
      <c r="A24" s="6">
        <v>90</v>
      </c>
      <c r="B24" s="8">
        <v>6300</v>
      </c>
    </row>
  </sheetData>
  <scenarios current="0" show="0">
    <scenario name="10% Discount" locked="1" count="8" user="SUBHASH LAMBA">
      <inputCells r="E2" val="10" numFmtId="164"/>
      <inputCells r="E3" val="10" numFmtId="164"/>
      <inputCells r="E4" val="10" numFmtId="164"/>
      <inputCells r="E5" val="10" numFmtId="164"/>
      <inputCells r="E6" val="10" numFmtId="164"/>
      <inputCells r="E7" val="10" numFmtId="164"/>
      <inputCells r="E8" val="10" numFmtId="164"/>
      <inputCells r="E9" val="10" numFmtId="164"/>
    </scenario>
  </scenario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D9787-CD91-48EB-BBCF-EE5A635EB6D1}">
  <dimension ref="A1:O12"/>
  <sheetViews>
    <sheetView showGridLines="0" topLeftCell="A10" zoomScale="85" zoomScaleNormal="85" workbookViewId="0">
      <selection activeCell="O53" sqref="O53"/>
    </sheetView>
  </sheetViews>
  <sheetFormatPr defaultRowHeight="14.4" x14ac:dyDescent="0.3"/>
  <cols>
    <col min="1" max="1" width="13.6640625" style="23" bestFit="1" customWidth="1"/>
    <col min="2" max="2" width="16.21875" style="23" bestFit="1" customWidth="1"/>
    <col min="3" max="6" width="9.21875" style="23" bestFit="1" customWidth="1"/>
    <col min="7" max="7" width="10.5546875" style="23" bestFit="1" customWidth="1"/>
    <col min="8" max="16384" width="8.88671875" style="23"/>
  </cols>
  <sheetData>
    <row r="1" spans="1:15" x14ac:dyDescent="0.3">
      <c r="I1" s="24" t="s">
        <v>127</v>
      </c>
      <c r="J1" s="25"/>
      <c r="K1" s="25"/>
      <c r="L1" s="25"/>
      <c r="M1" s="25"/>
      <c r="N1" s="25"/>
      <c r="O1" s="25"/>
    </row>
    <row r="2" spans="1:15" x14ac:dyDescent="0.3">
      <c r="I2" s="25"/>
      <c r="J2" s="25"/>
      <c r="K2" s="25"/>
      <c r="L2" s="25"/>
      <c r="M2" s="25"/>
      <c r="N2" s="25"/>
      <c r="O2" s="25"/>
    </row>
    <row r="3" spans="1:15" x14ac:dyDescent="0.3">
      <c r="I3" s="25"/>
      <c r="J3" s="25"/>
      <c r="K3" s="25"/>
      <c r="L3" s="25"/>
      <c r="M3" s="25"/>
      <c r="N3" s="25"/>
      <c r="O3" s="25"/>
    </row>
    <row r="5" spans="1:15" x14ac:dyDescent="0.3">
      <c r="A5" s="21" t="s">
        <v>128</v>
      </c>
      <c r="B5" s="21" t="s">
        <v>126</v>
      </c>
      <c r="C5"/>
      <c r="D5"/>
      <c r="E5"/>
      <c r="F5"/>
      <c r="G5"/>
    </row>
    <row r="6" spans="1:15" x14ac:dyDescent="0.3">
      <c r="A6" s="21" t="s">
        <v>124</v>
      </c>
      <c r="B6" t="s">
        <v>34</v>
      </c>
      <c r="C6" t="s">
        <v>18</v>
      </c>
      <c r="D6" t="s">
        <v>24</v>
      </c>
      <c r="E6" t="s">
        <v>20</v>
      </c>
      <c r="F6" t="s">
        <v>11</v>
      </c>
      <c r="G6" t="s">
        <v>125</v>
      </c>
    </row>
    <row r="7" spans="1:15" x14ac:dyDescent="0.3">
      <c r="A7" s="22" t="s">
        <v>12</v>
      </c>
      <c r="B7">
        <v>11297.150000000001</v>
      </c>
      <c r="C7">
        <v>11389.090000000002</v>
      </c>
      <c r="D7">
        <v>8037.0100000000011</v>
      </c>
      <c r="E7">
        <v>9588.0400000000009</v>
      </c>
      <c r="F7">
        <v>6691.17</v>
      </c>
      <c r="G7">
        <v>47002.460000000006</v>
      </c>
    </row>
    <row r="8" spans="1:15" x14ac:dyDescent="0.3">
      <c r="A8" s="22" t="s">
        <v>15</v>
      </c>
      <c r="B8">
        <v>12200.26</v>
      </c>
      <c r="C8">
        <v>2401.4499999999998</v>
      </c>
      <c r="D8">
        <v>8422.82</v>
      </c>
      <c r="E8">
        <v>8393.630000000001</v>
      </c>
      <c r="F8">
        <v>10509.429999999998</v>
      </c>
      <c r="G8">
        <v>41927.589999999997</v>
      </c>
    </row>
    <row r="9" spans="1:15" x14ac:dyDescent="0.3">
      <c r="A9" s="22" t="s">
        <v>21</v>
      </c>
      <c r="B9">
        <v>6621.24</v>
      </c>
      <c r="C9">
        <v>2869.54</v>
      </c>
      <c r="D9">
        <v>8191.7099999999991</v>
      </c>
      <c r="E9">
        <v>11989.070000000003</v>
      </c>
      <c r="F9">
        <v>11372.44</v>
      </c>
      <c r="G9">
        <v>41044</v>
      </c>
    </row>
    <row r="10" spans="1:15" x14ac:dyDescent="0.3">
      <c r="A10" s="22" t="s">
        <v>27</v>
      </c>
      <c r="B10">
        <v>4876.96</v>
      </c>
      <c r="C10">
        <v>7592.3399999999992</v>
      </c>
      <c r="D10">
        <v>6978.08</v>
      </c>
      <c r="E10">
        <v>7982.73</v>
      </c>
      <c r="F10">
        <v>9182.7800000000007</v>
      </c>
      <c r="G10">
        <v>36612.89</v>
      </c>
    </row>
    <row r="11" spans="1:15" x14ac:dyDescent="0.3">
      <c r="A11" s="22" t="s">
        <v>39</v>
      </c>
      <c r="B11">
        <v>8472.7199999999993</v>
      </c>
      <c r="C11">
        <v>8189.2200000000012</v>
      </c>
      <c r="D11">
        <v>3345.8</v>
      </c>
      <c r="E11">
        <v>2295.3199999999997</v>
      </c>
      <c r="F11">
        <v>6327.76</v>
      </c>
      <c r="G11">
        <v>28630.82</v>
      </c>
    </row>
    <row r="12" spans="1:15" x14ac:dyDescent="0.3">
      <c r="A12" s="22" t="s">
        <v>125</v>
      </c>
      <c r="B12">
        <v>43468.33</v>
      </c>
      <c r="C12">
        <v>32441.640000000003</v>
      </c>
      <c r="D12">
        <v>34975.420000000006</v>
      </c>
      <c r="E12">
        <v>40248.79</v>
      </c>
      <c r="F12">
        <v>44083.58</v>
      </c>
      <c r="G12">
        <v>195217.76</v>
      </c>
    </row>
  </sheetData>
  <mergeCells count="1">
    <mergeCell ref="I1:O3"/>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13432-E2B1-4560-B10C-35D7168DC3DE}">
  <dimension ref="A1:P18"/>
  <sheetViews>
    <sheetView tabSelected="1" workbookViewId="0">
      <selection activeCell="F13" sqref="F13"/>
    </sheetView>
  </sheetViews>
  <sheetFormatPr defaultRowHeight="14.4" x14ac:dyDescent="0.3"/>
  <cols>
    <col min="1" max="2" width="8.5546875" bestFit="1" customWidth="1"/>
    <col min="3" max="3" width="8.44140625" bestFit="1" customWidth="1"/>
    <col min="9" max="9" width="12.6640625" bestFit="1" customWidth="1"/>
    <col min="10" max="10" width="8" bestFit="1" customWidth="1"/>
    <col min="11" max="11" width="12" bestFit="1" customWidth="1"/>
    <col min="14" max="14" width="9.44140625" bestFit="1" customWidth="1"/>
    <col min="15" max="16" width="12" bestFit="1" customWidth="1"/>
  </cols>
  <sheetData>
    <row r="1" spans="1:16" ht="43.2" x14ac:dyDescent="0.3">
      <c r="A1" s="5" t="s">
        <v>91</v>
      </c>
      <c r="B1" s="5" t="s">
        <v>92</v>
      </c>
      <c r="C1" s="5" t="s">
        <v>93</v>
      </c>
    </row>
    <row r="2" spans="1:16" x14ac:dyDescent="0.3">
      <c r="A2" s="6">
        <v>1</v>
      </c>
      <c r="B2" s="6">
        <v>100</v>
      </c>
      <c r="C2" s="6">
        <f>$J$13*A2+$J$14</f>
        <v>100</v>
      </c>
      <c r="I2" s="28" t="s">
        <v>94</v>
      </c>
      <c r="J2" s="28"/>
      <c r="K2" s="28"/>
      <c r="L2" s="28"/>
      <c r="M2" s="28"/>
      <c r="N2" s="28"/>
      <c r="O2" s="28"/>
      <c r="P2" s="28"/>
    </row>
    <row r="3" spans="1:16" ht="57.6" x14ac:dyDescent="0.3">
      <c r="A3" s="6">
        <v>2</v>
      </c>
      <c r="B3" s="6">
        <v>150</v>
      </c>
      <c r="C3" s="6">
        <f t="shared" ref="C3:C5" si="0">$J$13*A3+$J$14</f>
        <v>150</v>
      </c>
      <c r="I3" s="10" t="s">
        <v>95</v>
      </c>
      <c r="J3" s="10" t="s">
        <v>96</v>
      </c>
      <c r="K3" s="10" t="s">
        <v>97</v>
      </c>
      <c r="L3" s="10" t="s">
        <v>98</v>
      </c>
      <c r="M3" s="10" t="s">
        <v>99</v>
      </c>
      <c r="N3" s="10" t="s">
        <v>100</v>
      </c>
      <c r="O3" s="10" t="s">
        <v>101</v>
      </c>
      <c r="P3" s="10" t="s">
        <v>102</v>
      </c>
    </row>
    <row r="4" spans="1:16" x14ac:dyDescent="0.3">
      <c r="A4" s="6">
        <v>3</v>
      </c>
      <c r="B4" s="6">
        <v>200</v>
      </c>
      <c r="C4" s="6">
        <f t="shared" si="0"/>
        <v>200</v>
      </c>
      <c r="I4" s="29">
        <f>AVERAGE(A2:A5)</f>
        <v>2.5</v>
      </c>
      <c r="J4" s="32">
        <f>AVERAGE(B2:B5)</f>
        <v>175</v>
      </c>
      <c r="K4" s="11">
        <f>STDEV(A2,$A$2:$A$5)</f>
        <v>1.3038404810405297</v>
      </c>
      <c r="L4" s="12">
        <f>STDEV(B2,$B$2:$B$5)</f>
        <v>65.192024052026483</v>
      </c>
      <c r="M4" s="12">
        <f>K4*L4</f>
        <v>85</v>
      </c>
      <c r="N4" s="32">
        <f>SUM(M4:M8)</f>
        <v>383.33333333333337</v>
      </c>
      <c r="O4" s="11">
        <f>K4*K4</f>
        <v>1.7</v>
      </c>
      <c r="P4" s="29">
        <f>SUM(O4:O8)</f>
        <v>7.6666666666666661</v>
      </c>
    </row>
    <row r="5" spans="1:16" x14ac:dyDescent="0.3">
      <c r="A5" s="6">
        <v>4</v>
      </c>
      <c r="B5" s="6">
        <v>250</v>
      </c>
      <c r="C5" s="6">
        <f t="shared" si="0"/>
        <v>250</v>
      </c>
      <c r="I5" s="30"/>
      <c r="J5" s="30"/>
      <c r="K5" s="11">
        <f t="shared" ref="K5:K7" si="1">STDEV(A3,$A$2:$A$5)</f>
        <v>1.1401754250991378</v>
      </c>
      <c r="L5" s="12">
        <f t="shared" ref="L5:L7" si="2">STDEV(B3,$B$2:$B$5)</f>
        <v>57.008771254956898</v>
      </c>
      <c r="M5" s="12">
        <f t="shared" ref="M5:M8" si="3">K5*L5</f>
        <v>64.999999999999986</v>
      </c>
      <c r="N5" s="30"/>
      <c r="O5" s="11">
        <f t="shared" ref="O5:O8" si="4">K5*K5</f>
        <v>1.2999999999999996</v>
      </c>
      <c r="P5" s="30"/>
    </row>
    <row r="6" spans="1:16" x14ac:dyDescent="0.3">
      <c r="A6" s="6"/>
      <c r="B6" s="6"/>
      <c r="C6" s="6"/>
      <c r="I6" s="30"/>
      <c r="J6" s="30"/>
      <c r="K6" s="11">
        <f t="shared" si="1"/>
        <v>1.1401754250991383</v>
      </c>
      <c r="L6" s="12">
        <f t="shared" si="2"/>
        <v>57.008771254956898</v>
      </c>
      <c r="M6" s="12">
        <f t="shared" si="3"/>
        <v>65.000000000000014</v>
      </c>
      <c r="N6" s="30"/>
      <c r="O6" s="11">
        <f t="shared" si="4"/>
        <v>1.3000000000000007</v>
      </c>
      <c r="P6" s="30"/>
    </row>
    <row r="7" spans="1:16" x14ac:dyDescent="0.3">
      <c r="A7" s="6">
        <v>5</v>
      </c>
      <c r="B7" s="9">
        <v>300</v>
      </c>
      <c r="C7" s="6">
        <f>$J$13*A7+$J$14</f>
        <v>300</v>
      </c>
      <c r="I7" s="30"/>
      <c r="J7" s="30"/>
      <c r="K7" s="11">
        <f t="shared" si="1"/>
        <v>1.3038404810405295</v>
      </c>
      <c r="L7" s="12">
        <f t="shared" si="2"/>
        <v>65.192024052026483</v>
      </c>
      <c r="M7" s="12">
        <f t="shared" si="3"/>
        <v>84.999999999999986</v>
      </c>
      <c r="N7" s="30"/>
      <c r="O7" s="11">
        <f t="shared" si="4"/>
        <v>1.6999999999999995</v>
      </c>
      <c r="P7" s="30"/>
    </row>
    <row r="8" spans="1:16" x14ac:dyDescent="0.3">
      <c r="A8" s="6">
        <v>6</v>
      </c>
      <c r="B8" s="9">
        <v>350</v>
      </c>
      <c r="C8" s="6">
        <f t="shared" ref="C8:C12" si="5">$J$13*A8+$J$14</f>
        <v>350.00000000000006</v>
      </c>
      <c r="I8" s="31"/>
      <c r="J8" s="31"/>
      <c r="K8" s="11">
        <f>STDEV(A6,$A$2:$A$5)</f>
        <v>1.2909944487358056</v>
      </c>
      <c r="L8" s="12">
        <f>STDEV(B6,$B$2:$B$5)</f>
        <v>64.54972243679029</v>
      </c>
      <c r="M8" s="12">
        <f t="shared" si="3"/>
        <v>83.333333333333343</v>
      </c>
      <c r="N8" s="31"/>
      <c r="O8" s="11">
        <f t="shared" si="4"/>
        <v>1.6666666666666665</v>
      </c>
      <c r="P8" s="31"/>
    </row>
    <row r="9" spans="1:16" x14ac:dyDescent="0.3">
      <c r="A9" s="6">
        <v>7</v>
      </c>
      <c r="B9" s="9">
        <v>400</v>
      </c>
      <c r="C9" s="6">
        <f t="shared" si="5"/>
        <v>400.00000000000006</v>
      </c>
      <c r="I9" s="13"/>
      <c r="J9" s="13"/>
      <c r="K9" s="13"/>
      <c r="L9" s="13"/>
      <c r="M9" s="13"/>
      <c r="N9" s="13"/>
      <c r="O9" s="13"/>
      <c r="P9" s="13"/>
    </row>
    <row r="10" spans="1:16" x14ac:dyDescent="0.3">
      <c r="A10" s="6">
        <v>8</v>
      </c>
      <c r="B10" s="9">
        <v>450</v>
      </c>
      <c r="C10" s="6">
        <f t="shared" si="5"/>
        <v>450.00000000000006</v>
      </c>
      <c r="I10" s="27" t="s">
        <v>103</v>
      </c>
      <c r="J10" s="27"/>
      <c r="K10" s="27"/>
      <c r="L10" s="27"/>
      <c r="M10" s="27"/>
      <c r="N10" s="27"/>
      <c r="O10" s="14"/>
      <c r="P10" s="13"/>
    </row>
    <row r="11" spans="1:16" x14ac:dyDescent="0.3">
      <c r="A11" s="6">
        <v>9</v>
      </c>
      <c r="B11" s="9">
        <v>500</v>
      </c>
      <c r="C11" s="6">
        <f t="shared" si="5"/>
        <v>500.00000000000006</v>
      </c>
      <c r="I11" s="27" t="s">
        <v>104</v>
      </c>
      <c r="J11" s="27"/>
      <c r="K11" s="27"/>
      <c r="L11" s="27"/>
      <c r="M11" s="27"/>
      <c r="N11" s="27"/>
      <c r="O11" s="14"/>
      <c r="P11" s="13"/>
    </row>
    <row r="12" spans="1:16" x14ac:dyDescent="0.3">
      <c r="A12" s="6">
        <v>10</v>
      </c>
      <c r="B12" s="9">
        <v>550</v>
      </c>
      <c r="C12" s="6">
        <f t="shared" si="5"/>
        <v>550</v>
      </c>
      <c r="I12" s="13"/>
      <c r="J12" s="13"/>
      <c r="K12" s="13"/>
      <c r="L12" s="13"/>
      <c r="M12" s="13"/>
      <c r="N12" s="13"/>
      <c r="O12" s="13"/>
      <c r="P12" s="13"/>
    </row>
    <row r="13" spans="1:16" x14ac:dyDescent="0.3">
      <c r="I13" s="11" t="s">
        <v>105</v>
      </c>
      <c r="J13" s="12">
        <f>N4/P4</f>
        <v>50.000000000000007</v>
      </c>
      <c r="K13" s="13"/>
      <c r="L13" s="13"/>
      <c r="M13" s="13"/>
      <c r="N13" s="13"/>
      <c r="O13" s="13"/>
      <c r="P13" s="13"/>
    </row>
    <row r="14" spans="1:16" x14ac:dyDescent="0.3">
      <c r="I14" s="15" t="s">
        <v>85</v>
      </c>
      <c r="J14" s="16">
        <f>J4-(J13*I4)</f>
        <v>49.999999999999986</v>
      </c>
      <c r="K14" s="13"/>
      <c r="L14" s="13"/>
      <c r="M14" s="13"/>
      <c r="N14" s="13"/>
      <c r="O14" s="13"/>
      <c r="P14" s="13"/>
    </row>
    <row r="15" spans="1:16" x14ac:dyDescent="0.3">
      <c r="I15" s="13"/>
      <c r="J15" s="13"/>
      <c r="K15" s="13"/>
      <c r="L15" s="13"/>
      <c r="M15" s="13"/>
      <c r="N15" s="13"/>
      <c r="O15" s="13"/>
      <c r="P15" s="13"/>
    </row>
    <row r="16" spans="1:16" x14ac:dyDescent="0.3">
      <c r="I16" s="13"/>
      <c r="J16" s="13"/>
      <c r="K16" s="13"/>
      <c r="L16" s="13"/>
      <c r="M16" s="13"/>
      <c r="N16" s="13"/>
      <c r="O16" s="13"/>
      <c r="P16" s="13"/>
    </row>
    <row r="17" spans="9:16" x14ac:dyDescent="0.3">
      <c r="I17" s="15" t="s">
        <v>106</v>
      </c>
      <c r="J17" s="12">
        <f>SLOPE(B2:B5,A2:A5)</f>
        <v>50</v>
      </c>
      <c r="K17" s="13"/>
      <c r="P17" s="13"/>
    </row>
    <row r="18" spans="9:16" x14ac:dyDescent="0.3">
      <c r="I18" s="15" t="s">
        <v>107</v>
      </c>
      <c r="J18" s="12">
        <f>INTERCEPT(B2:B5,A2:A5)</f>
        <v>50</v>
      </c>
    </row>
  </sheetData>
  <mergeCells count="7">
    <mergeCell ref="I11:N11"/>
    <mergeCell ref="I2:P2"/>
    <mergeCell ref="I4:I8"/>
    <mergeCell ref="J4:J8"/>
    <mergeCell ref="N4:N8"/>
    <mergeCell ref="P4:P8"/>
    <mergeCell ref="I10:N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Descriptive Analysis</vt:lpstr>
      <vt:lpstr>Sheet1</vt:lpstr>
      <vt:lpstr>Pivot Table</vt:lpstr>
      <vt:lpstr>Dataset</vt:lpstr>
      <vt:lpstr>WHATIF</vt:lpstr>
      <vt:lpstr>Dashboard</vt:lpstr>
      <vt:lpstr>Linear Regression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SUBHASH LAMBA</dc:creator>
  <cp:lastModifiedBy>SUBHASH LAMBA</cp:lastModifiedBy>
  <dcterms:created xsi:type="dcterms:W3CDTF">2026-04-27T15:34:08Z</dcterms:created>
  <dcterms:modified xsi:type="dcterms:W3CDTF">2026-04-30T03:26:49Z</dcterms:modified>
</cp:coreProperties>
</file>